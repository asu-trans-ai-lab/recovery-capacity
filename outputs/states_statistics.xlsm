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8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fang/PycharmProjects/dqq/LEA_2024/final/outputs/"/>
    </mc:Choice>
  </mc:AlternateContent>
  <xr:revisionPtr revIDLastSave="0" documentId="13_ncr:1_{D349A221-0769-824E-B18F-C6D323CB1160}" xr6:coauthVersionLast="47" xr6:coauthVersionMax="47" xr10:uidLastSave="{00000000-0000-0000-0000-000000000000}"/>
  <bookViews>
    <workbookView xWindow="0" yWindow="500" windowWidth="38400" windowHeight="21100" activeTab="2" xr2:uid="{F3720759-BB08-8246-BF79-1E91CDEBFAF2}"/>
  </bookViews>
  <sheets>
    <sheet name="delta_pred" sheetId="3" r:id="rId1"/>
    <sheet name="fitting_c2_w" sheetId="4" r:id="rId2"/>
    <sheet name="prediction_c2_w" sheetId="5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86" i="4" l="1"/>
  <c r="N72" i="4"/>
  <c r="N58" i="4"/>
  <c r="N44" i="4"/>
  <c r="N29" i="4"/>
  <c r="N19" i="4"/>
  <c r="N91" i="5"/>
  <c r="N77" i="5"/>
  <c r="N63" i="5"/>
  <c r="N49" i="5"/>
  <c r="N34" i="5"/>
  <c r="N19" i="5"/>
  <c r="Q96" i="5"/>
  <c r="Q95" i="5"/>
  <c r="Q94" i="5"/>
  <c r="P97" i="5"/>
  <c r="P96" i="5"/>
  <c r="P95" i="5"/>
  <c r="P94" i="5"/>
  <c r="O97" i="5"/>
  <c r="O96" i="5"/>
  <c r="O95" i="5"/>
  <c r="O94" i="5"/>
  <c r="Q83" i="5"/>
  <c r="Q82" i="5"/>
  <c r="Q81" i="5"/>
  <c r="Q80" i="5"/>
  <c r="P83" i="5"/>
  <c r="P82" i="5"/>
  <c r="P81" i="5"/>
  <c r="P80" i="5"/>
  <c r="O83" i="5"/>
  <c r="O82" i="5"/>
  <c r="O81" i="5"/>
  <c r="O80" i="5"/>
  <c r="Q69" i="5"/>
  <c r="Q68" i="5"/>
  <c r="Q67" i="5"/>
  <c r="Q66" i="5"/>
  <c r="P69" i="5"/>
  <c r="P68" i="5"/>
  <c r="P67" i="5"/>
  <c r="P66" i="5"/>
  <c r="O69" i="5"/>
  <c r="O68" i="5"/>
  <c r="O67" i="5"/>
  <c r="O66" i="5"/>
  <c r="Q55" i="5"/>
  <c r="Q54" i="5"/>
  <c r="Q53" i="5"/>
  <c r="Q52" i="5"/>
  <c r="P55" i="5"/>
  <c r="P54" i="5"/>
  <c r="P53" i="5"/>
  <c r="P52" i="5"/>
  <c r="O55" i="5"/>
  <c r="O54" i="5"/>
  <c r="O53" i="5"/>
  <c r="O52" i="5"/>
  <c r="Q40" i="5"/>
  <c r="Q39" i="5"/>
  <c r="Q38" i="5"/>
  <c r="Q37" i="5"/>
  <c r="P40" i="5"/>
  <c r="P39" i="5"/>
  <c r="P38" i="5"/>
  <c r="P37" i="5"/>
  <c r="O40" i="5"/>
  <c r="O39" i="5"/>
  <c r="O38" i="5"/>
  <c r="O37" i="5"/>
  <c r="Q25" i="5"/>
  <c r="Q24" i="5"/>
  <c r="Q23" i="5"/>
  <c r="Q22" i="5"/>
  <c r="P25" i="5"/>
  <c r="P24" i="5"/>
  <c r="P23" i="5"/>
  <c r="P22" i="5"/>
  <c r="O25" i="5"/>
  <c r="O24" i="5"/>
  <c r="O23" i="5"/>
  <c r="O22" i="5"/>
  <c r="C17" i="5"/>
  <c r="D17" i="5"/>
  <c r="E17" i="5"/>
  <c r="F17" i="5"/>
  <c r="G17" i="5"/>
  <c r="C18" i="5"/>
  <c r="D18" i="5"/>
  <c r="E18" i="5"/>
  <c r="F18" i="5"/>
  <c r="G18" i="5"/>
  <c r="C19" i="5"/>
  <c r="D19" i="5"/>
  <c r="E19" i="5"/>
  <c r="F19" i="5"/>
  <c r="G19" i="5"/>
  <c r="C20" i="5"/>
  <c r="D20" i="5"/>
  <c r="E20" i="5"/>
  <c r="F20" i="5"/>
  <c r="G20" i="5"/>
  <c r="C21" i="5"/>
  <c r="D21" i="5"/>
  <c r="E21" i="5"/>
  <c r="F21" i="5"/>
  <c r="G21" i="5"/>
  <c r="C22" i="5"/>
  <c r="D22" i="5"/>
  <c r="E22" i="5"/>
  <c r="F22" i="5"/>
  <c r="G22" i="5"/>
  <c r="C23" i="5"/>
  <c r="D23" i="5"/>
  <c r="E23" i="5"/>
  <c r="F23" i="5"/>
  <c r="G23" i="5"/>
  <c r="C24" i="5"/>
  <c r="D24" i="5"/>
  <c r="E24" i="5"/>
  <c r="F24" i="5"/>
  <c r="G24" i="5"/>
  <c r="C32" i="5"/>
  <c r="D32" i="5"/>
  <c r="E32" i="5"/>
  <c r="F32" i="5"/>
  <c r="G32" i="5"/>
  <c r="C33" i="5"/>
  <c r="D33" i="5"/>
  <c r="E33" i="5"/>
  <c r="F33" i="5"/>
  <c r="G33" i="5"/>
  <c r="C34" i="5"/>
  <c r="D34" i="5"/>
  <c r="E34" i="5"/>
  <c r="F34" i="5"/>
  <c r="G34" i="5"/>
  <c r="C35" i="5"/>
  <c r="D35" i="5"/>
  <c r="E35" i="5"/>
  <c r="F35" i="5"/>
  <c r="G35" i="5"/>
  <c r="C36" i="5"/>
  <c r="D36" i="5"/>
  <c r="E36" i="5"/>
  <c r="F36" i="5"/>
  <c r="G36" i="5"/>
  <c r="C37" i="5"/>
  <c r="D37" i="5"/>
  <c r="E37" i="5"/>
  <c r="F37" i="5"/>
  <c r="G37" i="5"/>
  <c r="C38" i="5"/>
  <c r="D38" i="5"/>
  <c r="E38" i="5"/>
  <c r="F38" i="5"/>
  <c r="G38" i="5"/>
  <c r="C39" i="5"/>
  <c r="D39" i="5"/>
  <c r="E39" i="5"/>
  <c r="F39" i="5"/>
  <c r="G39" i="5"/>
  <c r="C47" i="5"/>
  <c r="D47" i="5"/>
  <c r="E47" i="5"/>
  <c r="F47" i="5"/>
  <c r="G47" i="5"/>
  <c r="C48" i="5"/>
  <c r="D48" i="5"/>
  <c r="E48" i="5"/>
  <c r="F48" i="5"/>
  <c r="G48" i="5"/>
  <c r="C49" i="5"/>
  <c r="D49" i="5"/>
  <c r="E49" i="5"/>
  <c r="F49" i="5"/>
  <c r="G49" i="5"/>
  <c r="C50" i="5"/>
  <c r="D50" i="5"/>
  <c r="E50" i="5"/>
  <c r="F50" i="5"/>
  <c r="G50" i="5"/>
  <c r="C51" i="5"/>
  <c r="D51" i="5"/>
  <c r="E51" i="5"/>
  <c r="F51" i="5"/>
  <c r="G51" i="5"/>
  <c r="C52" i="5"/>
  <c r="D52" i="5"/>
  <c r="E52" i="5"/>
  <c r="F52" i="5"/>
  <c r="G52" i="5"/>
  <c r="C53" i="5"/>
  <c r="D53" i="5"/>
  <c r="E53" i="5"/>
  <c r="F53" i="5"/>
  <c r="G53" i="5"/>
  <c r="C54" i="5"/>
  <c r="D54" i="5"/>
  <c r="E54" i="5"/>
  <c r="F54" i="5"/>
  <c r="G54" i="5"/>
  <c r="C61" i="5"/>
  <c r="D61" i="5"/>
  <c r="E61" i="5"/>
  <c r="F61" i="5"/>
  <c r="G61" i="5"/>
  <c r="C62" i="5"/>
  <c r="D62" i="5"/>
  <c r="E62" i="5"/>
  <c r="F62" i="5"/>
  <c r="G62" i="5"/>
  <c r="C63" i="5"/>
  <c r="D63" i="5"/>
  <c r="E63" i="5"/>
  <c r="F63" i="5"/>
  <c r="G63" i="5"/>
  <c r="C64" i="5"/>
  <c r="D64" i="5"/>
  <c r="E64" i="5"/>
  <c r="F64" i="5"/>
  <c r="G64" i="5"/>
  <c r="C65" i="5"/>
  <c r="D65" i="5"/>
  <c r="E65" i="5"/>
  <c r="F65" i="5"/>
  <c r="G65" i="5"/>
  <c r="C66" i="5"/>
  <c r="D66" i="5"/>
  <c r="E66" i="5"/>
  <c r="F66" i="5"/>
  <c r="G66" i="5"/>
  <c r="C67" i="5"/>
  <c r="D67" i="5"/>
  <c r="E67" i="5"/>
  <c r="F67" i="5"/>
  <c r="G67" i="5"/>
  <c r="C68" i="5"/>
  <c r="D68" i="5"/>
  <c r="E68" i="5"/>
  <c r="F68" i="5"/>
  <c r="G68" i="5"/>
  <c r="C89" i="5"/>
  <c r="D89" i="5"/>
  <c r="E89" i="5"/>
  <c r="F89" i="5"/>
  <c r="G89" i="5"/>
  <c r="C90" i="5"/>
  <c r="D90" i="5"/>
  <c r="E90" i="5"/>
  <c r="F90" i="5"/>
  <c r="G90" i="5"/>
  <c r="C91" i="5"/>
  <c r="D91" i="5"/>
  <c r="E91" i="5"/>
  <c r="F91" i="5"/>
  <c r="G91" i="5"/>
  <c r="C92" i="5"/>
  <c r="D92" i="5"/>
  <c r="E92" i="5"/>
  <c r="F92" i="5"/>
  <c r="G92" i="5"/>
  <c r="C93" i="5"/>
  <c r="D93" i="5"/>
  <c r="E93" i="5"/>
  <c r="F93" i="5"/>
  <c r="G93" i="5"/>
  <c r="Q97" i="5" s="1"/>
  <c r="C94" i="5"/>
  <c r="D94" i="5"/>
  <c r="E94" i="5"/>
  <c r="F94" i="5"/>
  <c r="G94" i="5"/>
  <c r="C95" i="5"/>
  <c r="D95" i="5"/>
  <c r="E95" i="5"/>
  <c r="F95" i="5"/>
  <c r="G95" i="5"/>
  <c r="C96" i="5"/>
  <c r="D96" i="5"/>
  <c r="E96" i="5"/>
  <c r="F96" i="5"/>
  <c r="G96" i="5"/>
  <c r="B89" i="5"/>
  <c r="B96" i="5"/>
  <c r="B95" i="5"/>
  <c r="B94" i="5"/>
  <c r="B93" i="5"/>
  <c r="B92" i="5"/>
  <c r="B91" i="5"/>
  <c r="B90" i="5"/>
  <c r="B82" i="5"/>
  <c r="B81" i="5"/>
  <c r="B80" i="5"/>
  <c r="B79" i="5"/>
  <c r="B78" i="5"/>
  <c r="B77" i="5"/>
  <c r="B76" i="5"/>
  <c r="B75" i="5"/>
  <c r="B64" i="5"/>
  <c r="B63" i="5"/>
  <c r="B62" i="5"/>
  <c r="B68" i="5"/>
  <c r="B67" i="5"/>
  <c r="B66" i="5"/>
  <c r="B65" i="5"/>
  <c r="C17" i="4"/>
  <c r="D17" i="4"/>
  <c r="E17" i="4"/>
  <c r="F17" i="4"/>
  <c r="G17" i="4"/>
  <c r="H17" i="4"/>
  <c r="C18" i="4"/>
  <c r="D18" i="4"/>
  <c r="E18" i="4"/>
  <c r="F18" i="4"/>
  <c r="G18" i="4"/>
  <c r="H18" i="4"/>
  <c r="C19" i="4"/>
  <c r="D19" i="4"/>
  <c r="E19" i="4"/>
  <c r="F19" i="4"/>
  <c r="G19" i="4"/>
  <c r="H19" i="4"/>
  <c r="C20" i="4"/>
  <c r="D20" i="4"/>
  <c r="E20" i="4"/>
  <c r="F20" i="4"/>
  <c r="G20" i="4"/>
  <c r="H20" i="4"/>
  <c r="C21" i="4"/>
  <c r="D21" i="4"/>
  <c r="E21" i="4"/>
  <c r="F21" i="4"/>
  <c r="G21" i="4"/>
  <c r="H21" i="4"/>
  <c r="C22" i="4"/>
  <c r="D22" i="4"/>
  <c r="E22" i="4"/>
  <c r="F22" i="4"/>
  <c r="G22" i="4"/>
  <c r="H22" i="4"/>
  <c r="C23" i="4"/>
  <c r="D23" i="4"/>
  <c r="E23" i="4"/>
  <c r="F23" i="4"/>
  <c r="G23" i="4"/>
  <c r="H23" i="4"/>
  <c r="C24" i="4"/>
  <c r="D24" i="4"/>
  <c r="E24" i="4"/>
  <c r="F24" i="4"/>
  <c r="G24" i="4"/>
  <c r="H24" i="4"/>
  <c r="C32" i="4"/>
  <c r="D32" i="4"/>
  <c r="E32" i="4"/>
  <c r="F32" i="4"/>
  <c r="G32" i="4"/>
  <c r="H32" i="4"/>
  <c r="C33" i="4"/>
  <c r="D33" i="4"/>
  <c r="E33" i="4"/>
  <c r="F33" i="4"/>
  <c r="G33" i="4"/>
  <c r="H33" i="4"/>
  <c r="C34" i="4"/>
  <c r="D34" i="4"/>
  <c r="E34" i="4"/>
  <c r="F34" i="4"/>
  <c r="G34" i="4"/>
  <c r="H34" i="4"/>
  <c r="C35" i="4"/>
  <c r="D35" i="4"/>
  <c r="E35" i="4"/>
  <c r="F35" i="4"/>
  <c r="G35" i="4"/>
  <c r="H35" i="4"/>
  <c r="C36" i="4"/>
  <c r="D36" i="4"/>
  <c r="E36" i="4"/>
  <c r="F36" i="4"/>
  <c r="G36" i="4"/>
  <c r="H36" i="4"/>
  <c r="C37" i="4"/>
  <c r="D37" i="4"/>
  <c r="E37" i="4"/>
  <c r="F37" i="4"/>
  <c r="G37" i="4"/>
  <c r="H37" i="4"/>
  <c r="C38" i="4"/>
  <c r="D38" i="4"/>
  <c r="E38" i="4"/>
  <c r="F38" i="4"/>
  <c r="G38" i="4"/>
  <c r="H38" i="4"/>
  <c r="C39" i="4"/>
  <c r="D39" i="4"/>
  <c r="E39" i="4"/>
  <c r="F39" i="4"/>
  <c r="G39" i="4"/>
  <c r="H39" i="4"/>
  <c r="C47" i="4"/>
  <c r="D47" i="4"/>
  <c r="E47" i="4"/>
  <c r="F47" i="4"/>
  <c r="G47" i="4"/>
  <c r="H47" i="4"/>
  <c r="C48" i="4"/>
  <c r="D48" i="4"/>
  <c r="E48" i="4"/>
  <c r="F48" i="4"/>
  <c r="G48" i="4"/>
  <c r="H48" i="4"/>
  <c r="C49" i="4"/>
  <c r="D49" i="4"/>
  <c r="E49" i="4"/>
  <c r="F49" i="4"/>
  <c r="G49" i="4"/>
  <c r="H49" i="4"/>
  <c r="C50" i="4"/>
  <c r="D50" i="4"/>
  <c r="E50" i="4"/>
  <c r="F50" i="4"/>
  <c r="G50" i="4"/>
  <c r="H50" i="4"/>
  <c r="C51" i="4"/>
  <c r="D51" i="4"/>
  <c r="E51" i="4"/>
  <c r="F51" i="4"/>
  <c r="G51" i="4"/>
  <c r="H51" i="4"/>
  <c r="C52" i="4"/>
  <c r="D52" i="4"/>
  <c r="E52" i="4"/>
  <c r="F52" i="4"/>
  <c r="G52" i="4"/>
  <c r="H52" i="4"/>
  <c r="C53" i="4"/>
  <c r="D53" i="4"/>
  <c r="E53" i="4"/>
  <c r="F53" i="4"/>
  <c r="G53" i="4"/>
  <c r="H53" i="4"/>
  <c r="C54" i="4"/>
  <c r="D54" i="4"/>
  <c r="E54" i="4"/>
  <c r="F54" i="4"/>
  <c r="G54" i="4"/>
  <c r="H54" i="4"/>
  <c r="C61" i="4"/>
  <c r="D61" i="4"/>
  <c r="E61" i="4"/>
  <c r="F61" i="4"/>
  <c r="G61" i="4"/>
  <c r="H61" i="4"/>
  <c r="C62" i="4"/>
  <c r="D62" i="4"/>
  <c r="E62" i="4"/>
  <c r="F62" i="4"/>
  <c r="G62" i="4"/>
  <c r="H62" i="4"/>
  <c r="C63" i="4"/>
  <c r="D63" i="4"/>
  <c r="E63" i="4"/>
  <c r="F63" i="4"/>
  <c r="G63" i="4"/>
  <c r="H63" i="4"/>
  <c r="C64" i="4"/>
  <c r="D64" i="4"/>
  <c r="E64" i="4"/>
  <c r="F64" i="4"/>
  <c r="G64" i="4"/>
  <c r="H64" i="4"/>
  <c r="C65" i="4"/>
  <c r="D65" i="4"/>
  <c r="E65" i="4"/>
  <c r="F65" i="4"/>
  <c r="G65" i="4"/>
  <c r="H65" i="4"/>
  <c r="C66" i="4"/>
  <c r="D66" i="4"/>
  <c r="E66" i="4"/>
  <c r="F66" i="4"/>
  <c r="G66" i="4"/>
  <c r="H66" i="4"/>
  <c r="C67" i="4"/>
  <c r="D67" i="4"/>
  <c r="E67" i="4"/>
  <c r="F67" i="4"/>
  <c r="G67" i="4"/>
  <c r="H67" i="4"/>
  <c r="C68" i="4"/>
  <c r="D68" i="4"/>
  <c r="E68" i="4"/>
  <c r="F68" i="4"/>
  <c r="G68" i="4"/>
  <c r="H68" i="4"/>
  <c r="C75" i="4"/>
  <c r="D75" i="4"/>
  <c r="E75" i="4"/>
  <c r="F75" i="4"/>
  <c r="G75" i="4"/>
  <c r="H75" i="4"/>
  <c r="C76" i="4"/>
  <c r="D76" i="4"/>
  <c r="E76" i="4"/>
  <c r="F76" i="4"/>
  <c r="G76" i="4"/>
  <c r="H76" i="4"/>
  <c r="C77" i="4"/>
  <c r="D77" i="4"/>
  <c r="E77" i="4"/>
  <c r="F77" i="4"/>
  <c r="G77" i="4"/>
  <c r="H77" i="4"/>
  <c r="C78" i="4"/>
  <c r="D78" i="4"/>
  <c r="E78" i="4"/>
  <c r="F78" i="4"/>
  <c r="G78" i="4"/>
  <c r="H78" i="4"/>
  <c r="C79" i="4"/>
  <c r="D79" i="4"/>
  <c r="E79" i="4"/>
  <c r="F79" i="4"/>
  <c r="G79" i="4"/>
  <c r="H79" i="4"/>
  <c r="C80" i="4"/>
  <c r="D80" i="4"/>
  <c r="E80" i="4"/>
  <c r="F80" i="4"/>
  <c r="G80" i="4"/>
  <c r="H80" i="4"/>
  <c r="C81" i="4"/>
  <c r="D81" i="4"/>
  <c r="E81" i="4"/>
  <c r="F81" i="4"/>
  <c r="G81" i="4"/>
  <c r="H81" i="4"/>
  <c r="C82" i="4"/>
  <c r="D82" i="4"/>
  <c r="E82" i="4"/>
  <c r="F82" i="4"/>
  <c r="G82" i="4"/>
  <c r="H82" i="4"/>
  <c r="C89" i="4"/>
  <c r="D89" i="4"/>
  <c r="E89" i="4"/>
  <c r="F89" i="4"/>
  <c r="G89" i="4"/>
  <c r="H89" i="4"/>
  <c r="C90" i="4"/>
  <c r="D90" i="4"/>
  <c r="E90" i="4"/>
  <c r="F90" i="4"/>
  <c r="G90" i="4"/>
  <c r="H90" i="4"/>
  <c r="C91" i="4"/>
  <c r="D91" i="4"/>
  <c r="E91" i="4"/>
  <c r="F91" i="4"/>
  <c r="G91" i="4"/>
  <c r="H91" i="4"/>
  <c r="C92" i="4"/>
  <c r="D92" i="4"/>
  <c r="E92" i="4"/>
  <c r="F92" i="4"/>
  <c r="G92" i="4"/>
  <c r="H92" i="4"/>
  <c r="C93" i="4"/>
  <c r="D93" i="4"/>
  <c r="E93" i="4"/>
  <c r="F93" i="4"/>
  <c r="G93" i="4"/>
  <c r="H93" i="4"/>
  <c r="C94" i="4"/>
  <c r="D94" i="4"/>
  <c r="E94" i="4"/>
  <c r="F94" i="4"/>
  <c r="G94" i="4"/>
  <c r="H94" i="4"/>
  <c r="C95" i="4"/>
  <c r="D95" i="4"/>
  <c r="E95" i="4"/>
  <c r="F95" i="4"/>
  <c r="G95" i="4"/>
  <c r="H95" i="4"/>
  <c r="C96" i="4"/>
  <c r="D96" i="4"/>
  <c r="E96" i="4"/>
  <c r="F96" i="4"/>
  <c r="G96" i="4"/>
  <c r="H96" i="4"/>
  <c r="B17" i="4"/>
  <c r="B19" i="4"/>
  <c r="B18" i="4"/>
  <c r="E78" i="5"/>
  <c r="C75" i="5"/>
  <c r="D75" i="5"/>
  <c r="E75" i="5"/>
  <c r="F75" i="5"/>
  <c r="G75" i="5"/>
  <c r="C76" i="5"/>
  <c r="D76" i="5"/>
  <c r="E76" i="5"/>
  <c r="F76" i="5"/>
  <c r="G76" i="5"/>
  <c r="C77" i="5"/>
  <c r="D77" i="5"/>
  <c r="E77" i="5"/>
  <c r="F77" i="5"/>
  <c r="G77" i="5"/>
  <c r="C78" i="5"/>
  <c r="D78" i="5"/>
  <c r="F78" i="5"/>
  <c r="G78" i="5"/>
  <c r="C79" i="5"/>
  <c r="D79" i="5"/>
  <c r="E79" i="5"/>
  <c r="F79" i="5"/>
  <c r="G79" i="5"/>
  <c r="C80" i="5"/>
  <c r="D80" i="5"/>
  <c r="E80" i="5"/>
  <c r="F80" i="5"/>
  <c r="G80" i="5"/>
  <c r="C81" i="5"/>
  <c r="D81" i="5"/>
  <c r="E81" i="5"/>
  <c r="F81" i="5"/>
  <c r="G81" i="5"/>
  <c r="C82" i="5"/>
  <c r="D82" i="5"/>
  <c r="E82" i="5"/>
  <c r="F82" i="5"/>
  <c r="G82" i="5"/>
  <c r="B61" i="5"/>
  <c r="B57" i="5"/>
  <c r="B47" i="5"/>
  <c r="B43" i="5"/>
  <c r="B32" i="5"/>
  <c r="B17" i="5"/>
  <c r="B85" i="5"/>
  <c r="B71" i="5"/>
  <c r="B54" i="5"/>
  <c r="B53" i="5"/>
  <c r="B52" i="5"/>
  <c r="B51" i="5"/>
  <c r="B50" i="5"/>
  <c r="B49" i="5"/>
  <c r="B48" i="5"/>
  <c r="B39" i="5"/>
  <c r="B38" i="5"/>
  <c r="B37" i="5"/>
  <c r="B36" i="5"/>
  <c r="B35" i="5"/>
  <c r="B34" i="5"/>
  <c r="B33" i="5"/>
  <c r="B28" i="5"/>
  <c r="B24" i="5"/>
  <c r="B23" i="5"/>
  <c r="B22" i="5"/>
  <c r="B21" i="5"/>
  <c r="B20" i="5"/>
  <c r="B19" i="5"/>
  <c r="B18" i="5"/>
  <c r="B13" i="5"/>
  <c r="O32" i="4" l="1"/>
  <c r="B89" i="4"/>
  <c r="B75" i="4"/>
  <c r="B61" i="4"/>
  <c r="B48" i="4"/>
  <c r="B47" i="4"/>
  <c r="B32" i="4"/>
  <c r="B22" i="4"/>
  <c r="B21" i="4"/>
  <c r="B20" i="4"/>
  <c r="B96" i="4" l="1"/>
  <c r="B95" i="4"/>
  <c r="Q91" i="4"/>
  <c r="P91" i="4"/>
  <c r="O91" i="4"/>
  <c r="B94" i="4"/>
  <c r="Q92" i="4"/>
  <c r="P92" i="4"/>
  <c r="O92" i="4"/>
  <c r="B93" i="4"/>
  <c r="Q90" i="4"/>
  <c r="P90" i="4"/>
  <c r="O90" i="4"/>
  <c r="B92" i="4"/>
  <c r="Q89" i="4"/>
  <c r="P89" i="4"/>
  <c r="O89" i="4"/>
  <c r="B91" i="4"/>
  <c r="B90" i="4"/>
  <c r="B85" i="4"/>
  <c r="B82" i="4"/>
  <c r="B81" i="4"/>
  <c r="Q77" i="4"/>
  <c r="P77" i="4"/>
  <c r="O77" i="4"/>
  <c r="B80" i="4"/>
  <c r="Q78" i="4"/>
  <c r="P78" i="4"/>
  <c r="O78" i="4"/>
  <c r="B79" i="4"/>
  <c r="Q76" i="4"/>
  <c r="P76" i="4"/>
  <c r="O76" i="4"/>
  <c r="B78" i="4"/>
  <c r="Q75" i="4"/>
  <c r="P75" i="4"/>
  <c r="O75" i="4"/>
  <c r="B77" i="4"/>
  <c r="B76" i="4"/>
  <c r="B71" i="4"/>
  <c r="B68" i="4"/>
  <c r="B67" i="4"/>
  <c r="Q63" i="4"/>
  <c r="O63" i="4"/>
  <c r="B66" i="4"/>
  <c r="Q64" i="4"/>
  <c r="P64" i="4"/>
  <c r="O64" i="4"/>
  <c r="B65" i="4"/>
  <c r="Q62" i="4"/>
  <c r="B64" i="4"/>
  <c r="Q61" i="4"/>
  <c r="P61" i="4"/>
  <c r="O61" i="4"/>
  <c r="B63" i="4"/>
  <c r="B62" i="4"/>
  <c r="B57" i="4"/>
  <c r="B54" i="4"/>
  <c r="B53" i="4"/>
  <c r="Q49" i="4"/>
  <c r="B52" i="4"/>
  <c r="Q50" i="4"/>
  <c r="P50" i="4"/>
  <c r="O50" i="4"/>
  <c r="B51" i="4"/>
  <c r="Q48" i="4"/>
  <c r="B50" i="4"/>
  <c r="Q47" i="4"/>
  <c r="P47" i="4"/>
  <c r="O47" i="4"/>
  <c r="B49" i="4"/>
  <c r="B43" i="4"/>
  <c r="B39" i="4"/>
  <c r="B38" i="4"/>
  <c r="Q34" i="4"/>
  <c r="B37" i="4"/>
  <c r="Q35" i="4"/>
  <c r="P35" i="4"/>
  <c r="O35" i="4"/>
  <c r="B36" i="4"/>
  <c r="Q33" i="4"/>
  <c r="P33" i="4"/>
  <c r="O33" i="4"/>
  <c r="B35" i="4"/>
  <c r="Q32" i="4"/>
  <c r="P32" i="4"/>
  <c r="B34" i="4"/>
  <c r="B33" i="4"/>
  <c r="B28" i="4"/>
  <c r="Q25" i="4"/>
  <c r="B24" i="4"/>
  <c r="B23" i="4"/>
  <c r="Q24" i="4"/>
  <c r="P24" i="4"/>
  <c r="O24" i="4"/>
  <c r="P25" i="4"/>
  <c r="O25" i="4"/>
  <c r="Q23" i="4"/>
  <c r="P23" i="4"/>
  <c r="O23" i="4"/>
  <c r="Q22" i="4"/>
  <c r="P22" i="4"/>
  <c r="O22" i="4"/>
  <c r="B13" i="4"/>
  <c r="L3" i="3"/>
  <c r="L2" i="3"/>
  <c r="L58" i="3" s="1"/>
  <c r="M2" i="3"/>
  <c r="M58" i="3" s="1"/>
  <c r="N2" i="3"/>
  <c r="N58" i="3" s="1"/>
  <c r="O2" i="3"/>
  <c r="O58" i="3" s="1"/>
  <c r="P2" i="3"/>
  <c r="Q2" i="3"/>
  <c r="Q58" i="3" s="1"/>
  <c r="R2" i="3"/>
  <c r="R58" i="3" s="1"/>
  <c r="M3" i="3"/>
  <c r="N3" i="3"/>
  <c r="O3" i="3"/>
  <c r="P3" i="3"/>
  <c r="Q3" i="3"/>
  <c r="L4" i="3"/>
  <c r="M4" i="3"/>
  <c r="N4" i="3"/>
  <c r="O4" i="3"/>
  <c r="P4" i="3"/>
  <c r="Q4" i="3"/>
  <c r="R4" i="3"/>
  <c r="L5" i="3"/>
  <c r="M5" i="3"/>
  <c r="N5" i="3"/>
  <c r="O5" i="3"/>
  <c r="P5" i="3"/>
  <c r="Q5" i="3"/>
  <c r="L6" i="3"/>
  <c r="M6" i="3"/>
  <c r="N6" i="3"/>
  <c r="O6" i="3"/>
  <c r="P6" i="3"/>
  <c r="Q6" i="3"/>
  <c r="R6" i="3"/>
  <c r="L7" i="3"/>
  <c r="M7" i="3"/>
  <c r="N7" i="3"/>
  <c r="O7" i="3"/>
  <c r="P7" i="3"/>
  <c r="Q7" i="3"/>
  <c r="R7" i="3"/>
  <c r="L8" i="3"/>
  <c r="M8" i="3"/>
  <c r="N8" i="3"/>
  <c r="O8" i="3"/>
  <c r="P8" i="3"/>
  <c r="Q8" i="3"/>
  <c r="L9" i="3"/>
  <c r="M9" i="3"/>
  <c r="N9" i="3"/>
  <c r="O9" i="3"/>
  <c r="P9" i="3"/>
  <c r="Q9" i="3"/>
  <c r="R9" i="3"/>
  <c r="L10" i="3"/>
  <c r="M10" i="3"/>
  <c r="N10" i="3"/>
  <c r="O10" i="3"/>
  <c r="P10" i="3"/>
  <c r="Q10" i="3"/>
  <c r="R10" i="3"/>
  <c r="L11" i="3"/>
  <c r="M11" i="3"/>
  <c r="N11" i="3"/>
  <c r="O11" i="3"/>
  <c r="P11" i="3"/>
  <c r="Q11" i="3"/>
  <c r="L12" i="3"/>
  <c r="M12" i="3"/>
  <c r="N12" i="3"/>
  <c r="O12" i="3"/>
  <c r="P12" i="3"/>
  <c r="Q12" i="3"/>
  <c r="L13" i="3"/>
  <c r="M13" i="3"/>
  <c r="N13" i="3"/>
  <c r="O13" i="3"/>
  <c r="P13" i="3"/>
  <c r="Q13" i="3"/>
  <c r="R13" i="3"/>
  <c r="L14" i="3"/>
  <c r="M14" i="3"/>
  <c r="N14" i="3"/>
  <c r="O14" i="3"/>
  <c r="P14" i="3"/>
  <c r="Q14" i="3"/>
  <c r="R14" i="3"/>
  <c r="L15" i="3"/>
  <c r="M15" i="3"/>
  <c r="N15" i="3"/>
  <c r="O15" i="3"/>
  <c r="P15" i="3"/>
  <c r="Q15" i="3"/>
  <c r="R15" i="3"/>
  <c r="L16" i="3"/>
  <c r="M16" i="3"/>
  <c r="N16" i="3"/>
  <c r="O16" i="3"/>
  <c r="P16" i="3"/>
  <c r="Q16" i="3"/>
  <c r="R16" i="3"/>
  <c r="L17" i="3"/>
  <c r="M17" i="3"/>
  <c r="N17" i="3"/>
  <c r="O17" i="3"/>
  <c r="P17" i="3"/>
  <c r="Q17" i="3"/>
  <c r="R17" i="3"/>
  <c r="L18" i="3"/>
  <c r="M18" i="3"/>
  <c r="N18" i="3"/>
  <c r="O18" i="3"/>
  <c r="P18" i="3"/>
  <c r="Q18" i="3"/>
  <c r="R18" i="3"/>
  <c r="L19" i="3"/>
  <c r="M19" i="3"/>
  <c r="N19" i="3"/>
  <c r="O19" i="3"/>
  <c r="P19" i="3"/>
  <c r="Q19" i="3"/>
  <c r="R19" i="3"/>
  <c r="L20" i="3"/>
  <c r="M20" i="3"/>
  <c r="N20" i="3"/>
  <c r="O20" i="3"/>
  <c r="P20" i="3"/>
  <c r="Q20" i="3"/>
  <c r="R20" i="3"/>
  <c r="L21" i="3"/>
  <c r="M21" i="3"/>
  <c r="N21" i="3"/>
  <c r="O21" i="3"/>
  <c r="P21" i="3"/>
  <c r="Q21" i="3"/>
  <c r="R21" i="3"/>
  <c r="L22" i="3"/>
  <c r="M22" i="3"/>
  <c r="N22" i="3"/>
  <c r="O22" i="3"/>
  <c r="P22" i="3"/>
  <c r="Q22" i="3"/>
  <c r="R22" i="3"/>
  <c r="L23" i="3"/>
  <c r="M23" i="3"/>
  <c r="N23" i="3"/>
  <c r="O23" i="3"/>
  <c r="P23" i="3"/>
  <c r="Q23" i="3"/>
  <c r="R23" i="3"/>
  <c r="L24" i="3"/>
  <c r="M24" i="3"/>
  <c r="N24" i="3"/>
  <c r="O24" i="3"/>
  <c r="P24" i="3"/>
  <c r="Q24" i="3"/>
  <c r="L25" i="3"/>
  <c r="M25" i="3"/>
  <c r="N25" i="3"/>
  <c r="O25" i="3"/>
  <c r="P25" i="3"/>
  <c r="Q25" i="3"/>
  <c r="R25" i="3"/>
  <c r="L26" i="3"/>
  <c r="M26" i="3"/>
  <c r="N26" i="3"/>
  <c r="O26" i="3"/>
  <c r="P26" i="3"/>
  <c r="Q26" i="3"/>
  <c r="L27" i="3"/>
  <c r="M27" i="3"/>
  <c r="N27" i="3"/>
  <c r="O27" i="3"/>
  <c r="P27" i="3"/>
  <c r="Q27" i="3"/>
  <c r="R27" i="3"/>
  <c r="L28" i="3"/>
  <c r="M28" i="3"/>
  <c r="N28" i="3"/>
  <c r="O28" i="3"/>
  <c r="P28" i="3"/>
  <c r="Q28" i="3"/>
  <c r="R28" i="3"/>
  <c r="L29" i="3"/>
  <c r="M29" i="3"/>
  <c r="N29" i="3"/>
  <c r="O29" i="3"/>
  <c r="P29" i="3"/>
  <c r="Q29" i="3"/>
  <c r="R29" i="3"/>
  <c r="L30" i="3"/>
  <c r="M30" i="3"/>
  <c r="N30" i="3"/>
  <c r="O30" i="3"/>
  <c r="P30" i="3"/>
  <c r="Q30" i="3"/>
  <c r="R30" i="3"/>
  <c r="L31" i="3"/>
  <c r="M31" i="3"/>
  <c r="N31" i="3"/>
  <c r="O31" i="3"/>
  <c r="P31" i="3"/>
  <c r="Q31" i="3"/>
  <c r="L32" i="3"/>
  <c r="M32" i="3"/>
  <c r="N32" i="3"/>
  <c r="O32" i="3"/>
  <c r="P32" i="3"/>
  <c r="Q32" i="3"/>
  <c r="R32" i="3"/>
  <c r="L33" i="3"/>
  <c r="M33" i="3"/>
  <c r="N33" i="3"/>
  <c r="O33" i="3"/>
  <c r="P33" i="3"/>
  <c r="Q33" i="3"/>
  <c r="R33" i="3"/>
  <c r="L34" i="3"/>
  <c r="M34" i="3"/>
  <c r="N34" i="3"/>
  <c r="O34" i="3"/>
  <c r="P34" i="3"/>
  <c r="Q34" i="3"/>
  <c r="R34" i="3"/>
  <c r="L35" i="3"/>
  <c r="M35" i="3"/>
  <c r="N35" i="3"/>
  <c r="O35" i="3"/>
  <c r="P35" i="3"/>
  <c r="Q35" i="3"/>
  <c r="R35" i="3"/>
  <c r="L36" i="3"/>
  <c r="M36" i="3"/>
  <c r="N36" i="3"/>
  <c r="O36" i="3"/>
  <c r="P36" i="3"/>
  <c r="Q36" i="3"/>
  <c r="R36" i="3"/>
  <c r="L37" i="3"/>
  <c r="M37" i="3"/>
  <c r="N37" i="3"/>
  <c r="O37" i="3"/>
  <c r="P37" i="3"/>
  <c r="Q37" i="3"/>
  <c r="L38" i="3"/>
  <c r="M38" i="3"/>
  <c r="N38" i="3"/>
  <c r="O38" i="3"/>
  <c r="P38" i="3"/>
  <c r="Q38" i="3"/>
  <c r="R38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M46" i="3"/>
  <c r="N46" i="3"/>
  <c r="O46" i="3"/>
  <c r="P46" i="3"/>
  <c r="Q46" i="3"/>
  <c r="R46" i="3"/>
  <c r="L47" i="3"/>
  <c r="M47" i="3"/>
  <c r="N47" i="3"/>
  <c r="O47" i="3"/>
  <c r="P47" i="3"/>
  <c r="Q47" i="3"/>
  <c r="R47" i="3"/>
  <c r="L48" i="3"/>
  <c r="M48" i="3"/>
  <c r="N48" i="3"/>
  <c r="O48" i="3"/>
  <c r="P48" i="3"/>
  <c r="Q48" i="3"/>
  <c r="L49" i="3"/>
  <c r="M49" i="3"/>
  <c r="N49" i="3"/>
  <c r="O49" i="3"/>
  <c r="P49" i="3"/>
  <c r="Q49" i="3"/>
  <c r="R49" i="3"/>
  <c r="L50" i="3"/>
  <c r="M50" i="3"/>
  <c r="N50" i="3"/>
  <c r="O50" i="3"/>
  <c r="P50" i="3"/>
  <c r="Q50" i="3"/>
  <c r="R50" i="3"/>
  <c r="L51" i="3"/>
  <c r="M51" i="3"/>
  <c r="N51" i="3"/>
  <c r="O51" i="3"/>
  <c r="P51" i="3"/>
  <c r="Q51" i="3"/>
  <c r="R51" i="3"/>
  <c r="L52" i="3"/>
  <c r="M52" i="3"/>
  <c r="N52" i="3"/>
  <c r="O52" i="3"/>
  <c r="P52" i="3"/>
  <c r="Q52" i="3"/>
  <c r="R52" i="3"/>
  <c r="L53" i="3"/>
  <c r="M53" i="3"/>
  <c r="N53" i="3"/>
  <c r="O53" i="3"/>
  <c r="P53" i="3"/>
  <c r="Q53" i="3"/>
  <c r="R53" i="3"/>
  <c r="K53" i="3"/>
  <c r="K3" i="3"/>
  <c r="K4" i="3"/>
  <c r="K58" i="3" s="1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2" i="3"/>
  <c r="I52" i="4" l="1"/>
  <c r="I64" i="4"/>
  <c r="O62" i="4"/>
  <c r="J50" i="4"/>
  <c r="I50" i="4"/>
  <c r="J52" i="4"/>
  <c r="J64" i="4"/>
  <c r="P62" i="4"/>
  <c r="J66" i="4"/>
  <c r="P63" i="4"/>
  <c r="I35" i="4"/>
  <c r="I80" i="4"/>
  <c r="I94" i="4"/>
  <c r="I22" i="4"/>
  <c r="J78" i="4"/>
  <c r="J80" i="4"/>
  <c r="O48" i="4"/>
  <c r="I92" i="4"/>
  <c r="J37" i="4"/>
  <c r="I66" i="4"/>
  <c r="J92" i="4"/>
  <c r="J94" i="4"/>
  <c r="P48" i="4"/>
  <c r="I78" i="4"/>
  <c r="I37" i="4"/>
  <c r="J22" i="4"/>
  <c r="J35" i="4"/>
  <c r="I20" i="4"/>
  <c r="J20" i="4"/>
  <c r="O34" i="4"/>
  <c r="P34" i="4"/>
  <c r="O49" i="4"/>
  <c r="P49" i="4"/>
  <c r="P58" i="3"/>
</calcChain>
</file>

<file path=xl/sharedStrings.xml><?xml version="1.0" encoding="utf-8"?>
<sst xmlns="http://schemas.openxmlformats.org/spreadsheetml/2006/main" count="545" uniqueCount="157">
  <si>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</si>
  <si>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</si>
  <si>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</si>
  <si>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</si>
  <si>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</si>
  <si>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</si>
  <si>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</si>
  <si>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</si>
  <si>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District of 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</si>
  <si>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</si>
  <si>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</si>
  <si>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</si>
  <si>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</si>
  <si>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</si>
  <si>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</si>
  <si>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</si>
  <si>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</si>
  <si>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</si>
  <si>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</si>
  <si>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</si>
  <si>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</si>
  <si>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</si>
  <si>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</si>
  <si>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</si>
  <si>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</si>
  <si>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</si>
  <si>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</si>
  <si>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</si>
  <si>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</si>
  <si>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</si>
  <si>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</si>
  <si>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</si>
  <si>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</si>
  <si>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</si>
  <si>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</si>
  <si>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</si>
  <si>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</si>
  <si>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</si>
  <si>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</si>
  <si>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</si>
  <si>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</si>
  <si>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</si>
  <si>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</si>
  <si>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US</t>
  </si>
  <si>
    <t>Utah</t>
  </si>
  <si>
    <t>Vermont</t>
  </si>
  <si>
    <t>Virginia</t>
  </si>
  <si>
    <t>Washington</t>
  </si>
  <si>
    <t>West Virginia</t>
  </si>
  <si>
    <t>Wisconsin</t>
  </si>
  <si>
    <t>Wyoming</t>
  </si>
  <si>
    <t>Row Labels</t>
  </si>
  <si>
    <t>Average of delta_prime</t>
  </si>
  <si>
    <t>Average of delta_prime_lea</t>
  </si>
  <si>
    <t>RMSE</t>
  </si>
  <si>
    <t>Average of delta_prime_gomp</t>
  </si>
  <si>
    <t>Average of delta_prime_log</t>
  </si>
  <si>
    <t>Average of delta_prime_weibull</t>
  </si>
  <si>
    <t>Average of delta_prime_exp</t>
  </si>
  <si>
    <t>Average of delta_prime_dqq</t>
  </si>
  <si>
    <t>Average of delta_prime_linear</t>
  </si>
  <si>
    <t>Average of delta_prime_lsm</t>
  </si>
  <si>
    <t>SSR_gomp</t>
  </si>
  <si>
    <t>SSR_log</t>
  </si>
  <si>
    <t>SSR_weibull</t>
  </si>
  <si>
    <t>SSR_exp</t>
  </si>
  <si>
    <t>SSR_lea</t>
  </si>
  <si>
    <t>SSR_dqq</t>
  </si>
  <si>
    <t>SSR_linear</t>
  </si>
  <si>
    <t>SSR_lsm</t>
  </si>
  <si>
    <t>North Dakota</t>
  </si>
  <si>
    <t>mobility_type</t>
  </si>
  <si>
    <t>RMSE_H(t)_linear_est</t>
  </si>
  <si>
    <t>RMSE_H(t)_linear_pred</t>
  </si>
  <si>
    <t>RMSE_F(t)_linear_est</t>
  </si>
  <si>
    <t>RMSE_F(t)_linear_pred</t>
  </si>
  <si>
    <t>RMSE_h(t)_linear_est</t>
  </si>
  <si>
    <t>RMSE_h(t)_linear_pred</t>
  </si>
  <si>
    <t>theta_weighted_RMSE_linear</t>
  </si>
  <si>
    <t>RMSE_H(t)_dqq_est</t>
  </si>
  <si>
    <t>RMSE_H(t)_dqq_pred</t>
  </si>
  <si>
    <t>RMSE_F(t)_dqq_est</t>
  </si>
  <si>
    <t>RMSE_F(t)_dqq_pred</t>
  </si>
  <si>
    <t>RMSE_h(t)_dqq_est</t>
  </si>
  <si>
    <t>RMSE_h(t)_dqq_pred</t>
  </si>
  <si>
    <t>theta_weighted_RMSE_dqq</t>
  </si>
  <si>
    <t>RMSE_H(t)_lea_est</t>
  </si>
  <si>
    <t>RMSE_H(t)_lea_pred</t>
  </si>
  <si>
    <t>RMSE_F(t)_lea_est</t>
  </si>
  <si>
    <t>RMSE_F(t)_lea_pred</t>
  </si>
  <si>
    <t>RMSE_h(t)_lea_est</t>
  </si>
  <si>
    <t>RMSE_h(t)_lea_pred</t>
  </si>
  <si>
    <t>theta_weighted_RMSE_lea</t>
  </si>
  <si>
    <t>RMSE_H(t)_exp_est</t>
  </si>
  <si>
    <t>RMSE_H(t)_exp_pred</t>
  </si>
  <si>
    <t>RMSE_F(t)_exp_est</t>
  </si>
  <si>
    <t>RMSE_F(t)_exp_pred</t>
  </si>
  <si>
    <t>RMSE_h(t)_exp_est</t>
  </si>
  <si>
    <t>RMSE_h(t)_exp_pred</t>
  </si>
  <si>
    <t>theta_weighted_RMSE_exp</t>
  </si>
  <si>
    <t>RMSE_H(t)_weibull_est</t>
  </si>
  <si>
    <t>RMSE_H(t)_weibull_pred</t>
  </si>
  <si>
    <t>RMSE_F(t)_weibull_est</t>
  </si>
  <si>
    <t>RMSE_F(t)_weibull_pred</t>
  </si>
  <si>
    <t>RMSE_h(t)_weibull_est</t>
  </si>
  <si>
    <t>RMSE_h(t)_weibull_pred</t>
  </si>
  <si>
    <t>theta_weighted_RMSE_weibull</t>
  </si>
  <si>
    <t>RMSE_H(t)_log_est</t>
  </si>
  <si>
    <t>RMSE_H(t)_log_pred</t>
  </si>
  <si>
    <t>RMSE_F(t)_log_est</t>
  </si>
  <si>
    <t>RMSE_F(t)_log_pred</t>
  </si>
  <si>
    <t>RMSE_h(t)_log_est</t>
  </si>
  <si>
    <t>RMSE_h(t)_log_pred</t>
  </si>
  <si>
    <t>theta_weighted_RMSE_log</t>
  </si>
  <si>
    <t>RMSE_H(t)_gomp_est</t>
  </si>
  <si>
    <t>RMSE_H(t)_gomp_pred</t>
  </si>
  <si>
    <t>RMSE_F(t)_gomp_est</t>
  </si>
  <si>
    <t>RMSE_F(t)_gomp_pred</t>
  </si>
  <si>
    <t>RMSE_h(t)_gomp_est</t>
  </si>
  <si>
    <t>RMSE_h(t)_gomp_pred</t>
  </si>
  <si>
    <t>theta_weighted_RMSE_gomp</t>
  </si>
  <si>
    <t>RMSE_H(t)_lsm_est</t>
  </si>
  <si>
    <t>RMSE_H(t)_lsm_pred</t>
  </si>
  <si>
    <t>RMSE_F(t)_lsm_est</t>
  </si>
  <si>
    <t>RMSE_F(t)_lsm_pred</t>
  </si>
  <si>
    <t>RMSE_h(t)_lsm_est</t>
  </si>
  <si>
    <t>RMSE_h(t)_lsm_pred</t>
  </si>
  <si>
    <t>theta_weighted_RMSE_lsm</t>
  </si>
  <si>
    <t>transit_stations_percent_change_from_baseline</t>
  </si>
  <si>
    <t>residential_percent_change_from_baseline</t>
  </si>
  <si>
    <t>H(t)</t>
  </si>
  <si>
    <t>F(t)</t>
  </si>
  <si>
    <t>h(t)</t>
  </si>
  <si>
    <t>F(t)_impv</t>
  </si>
  <si>
    <t>h(t)_impv</t>
  </si>
  <si>
    <t>Models</t>
  </si>
  <si>
    <t>RMSE_est</t>
  </si>
  <si>
    <t>RMSE_pred</t>
  </si>
  <si>
    <t>theta-weighted RMSE</t>
  </si>
  <si>
    <t>Linear</t>
  </si>
  <si>
    <t>theta-weighted RMSE = theta * RMSE_est [F(t)] + (1-theta)*RMSE_est [h(t)]</t>
  </si>
  <si>
    <t>DQQ</t>
  </si>
  <si>
    <t>LEA</t>
  </si>
  <si>
    <t>Exp</t>
  </si>
  <si>
    <t>Weibull</t>
  </si>
  <si>
    <t>Log-logistic</t>
  </si>
  <si>
    <t>Gopmtz</t>
  </si>
  <si>
    <t>Exponential</t>
  </si>
  <si>
    <t>LSM</t>
  </si>
  <si>
    <t>grocery_and_pharmacy_percent_change_from_baseline</t>
  </si>
  <si>
    <t>parks_percent_change_from_baseline</t>
  </si>
  <si>
    <t>retail_and_recreation_percent_change_from_baseline</t>
  </si>
  <si>
    <t>workplaces_percent_change_from_baseline</t>
  </si>
  <si>
    <t>combined sse</t>
  </si>
  <si>
    <t>inf</t>
  </si>
  <si>
    <r>
      <t xml:space="preserve">w = </t>
    </r>
    <r>
      <rPr>
        <sz val="9.8000000000000007"/>
        <color rgb="FF2AACB8"/>
        <rFont val="JetBrains Mono"/>
        <family val="3"/>
      </rPr>
      <t xml:space="preserve">1 </t>
    </r>
    <r>
      <rPr>
        <sz val="9.8000000000000007"/>
        <color rgb="FFBCBEC4"/>
        <rFont val="JetBrains Mono"/>
        <family val="3"/>
      </rPr>
      <t>/ (</t>
    </r>
    <r>
      <rPr>
        <sz val="9.8000000000000007"/>
        <color rgb="FF8888C6"/>
        <rFont val="JetBrains Mono"/>
        <family val="3"/>
      </rPr>
      <t>int</t>
    </r>
    <r>
      <rPr>
        <sz val="9.8000000000000007"/>
        <color rgb="FFBCBEC4"/>
        <rFont val="JetBrains Mono"/>
        <family val="3"/>
      </rPr>
      <t>(group[</t>
    </r>
    <r>
      <rPr>
        <sz val="9.8000000000000007"/>
        <color rgb="FF6AAB73"/>
        <rFont val="JetBrains Mono"/>
        <family val="3"/>
      </rPr>
      <t>'UN_F(t)'</t>
    </r>
    <r>
      <rPr>
        <sz val="9.8000000000000007"/>
        <color rgb="FFBCBEC4"/>
        <rFont val="JetBrains Mono"/>
        <family val="3"/>
      </rPr>
      <t>].max())+</t>
    </r>
    <r>
      <rPr>
        <sz val="9.8000000000000007"/>
        <color rgb="FF2AACB8"/>
        <rFont val="JetBrains Mono"/>
        <family val="3"/>
      </rPr>
      <t>1</t>
    </r>
    <r>
      <rPr>
        <sz val="9.8000000000000007"/>
        <color rgb="FFBCBEC4"/>
        <rFont val="JetBrains Mono"/>
        <family val="3"/>
      </rPr>
      <t>)</t>
    </r>
  </si>
  <si>
    <t>sse_delta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</si>
</sst>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E+00"/>
    <numFmt numFmtId="166" formatCode="0.0000"/>
    <numFmt numFmtId="167" formatCode="0.0"/>
  </numFmts>
  <fonts count="23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1"/>
      <name val="Aptos Narrow"/>
      <scheme val="minor"/>
    </font>
    <font>
      <sz val="9.8000000000000007"/>
      <color rgb="FFBCBEC4"/>
      <name val="JetBrains Mono"/>
      <family val="3"/>
    </font>
    <font>
      <sz val="9.8000000000000007"/>
      <color rgb="FF2AACB8"/>
      <name val="JetBrains Mono"/>
      <family val="3"/>
    </font>
    <font>
      <sz val="9.8000000000000007"/>
      <color rgb="FF8888C6"/>
      <name val="JetBrains Mono"/>
      <family val="3"/>
    </font>
    <font>
      <sz val="9.8000000000000007"/>
      <color rgb="FF6AAB73"/>
      <name val="JetBrains Mono"/>
      <family val="3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left"/>
    </xf>
    <xf numFmtId="0" fontId="16" fillId="33" borderId="10" xfId="0" applyFont="1" applyFill="1" applyBorder="1"/>
    <xf numFmtId="164" fontId="0" fillId="0" borderId="0" xfId="0" applyNumberFormat="1"/>
    <xf numFmtId="164" fontId="0" fillId="34" borderId="0" xfId="0" applyNumberFormat="1" applyFill="1"/>
    <xf numFmtId="11" fontId="0" fillId="0" borderId="0" xfId="0" applyNumberFormat="1"/>
    <xf numFmtId="0" fontId="18" fillId="0" borderId="0" xfId="0" applyFont="1"/>
    <xf numFmtId="0" fontId="18" fillId="34" borderId="0" xfId="0" applyFont="1" applyFill="1"/>
    <xf numFmtId="0" fontId="18" fillId="35" borderId="0" xfId="0" applyFont="1" applyFill="1"/>
    <xf numFmtId="164" fontId="0" fillId="35" borderId="0" xfId="0" applyNumberFormat="1" applyFill="1"/>
    <xf numFmtId="164" fontId="18" fillId="35" borderId="0" xfId="0" applyNumberFormat="1" applyFont="1" applyFill="1"/>
    <xf numFmtId="165" fontId="0" fillId="0" borderId="0" xfId="0" applyNumberFormat="1"/>
    <xf numFmtId="0" fontId="19" fillId="0" borderId="0" xfId="0" applyFont="1"/>
    <xf numFmtId="166" fontId="0" fillId="0" borderId="0" xfId="0" applyNumberFormat="1"/>
    <xf numFmtId="167" fontId="0" fillId="0" borderId="0" xfId="0" applyNumberFormat="1"/>
    <xf numFmtId="0" fontId="0" fillId="35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7E999-ACBD-C04F-BC1F-3ED4C520AEB0}">
  <dimension ref="A1:R58"/>
  <sheetViews>
    <sheetView topLeftCell="H1" zoomScale="125" zoomScaleNormal="100" workbookViewId="0">
      <pane ySplit="1" topLeftCell="A2" activePane="bottomLeft" state="frozen"/>
      <selection activeCell="B1" sqref="B1"/>
      <selection pane="bottomLeft" activeCell="M70" sqref="M70"/>
    </sheetView>
  </sheetViews>
  <sheetFormatPr baseColWidth="10" defaultRowHeight="16"/>
  <cols>
    <col min="2" max="2" width="24.1640625" bestFit="1" customWidth="1"/>
    <col min="3" max="3" width="25.1640625" bestFit="1" customWidth="1"/>
    <col min="4" max="4" width="25.83203125" bestFit="1" customWidth="1"/>
    <col min="5" max="5" width="25" bestFit="1" customWidth="1"/>
    <col min="6" max="6" width="27.1640625" bestFit="1" customWidth="1"/>
    <col min="7" max="7" width="26.33203125" bestFit="1" customWidth="1"/>
    <col min="8" max="8" width="23.33203125" bestFit="1" customWidth="1"/>
    <col min="9" max="9" width="23.5" bestFit="1" customWidth="1"/>
    <col min="10" max="10" width="23.33203125" bestFit="1" customWidth="1"/>
    <col min="11" max="17" width="12.33203125" bestFit="1" customWidth="1"/>
    <col min="18" max="18" width="20" bestFit="1" customWidth="1"/>
  </cols>
  <sheetData>
    <row r="1" spans="1:18">
      <c r="A1" s="2" t="s">
        <v>51</v>
      </c>
      <c r="B1" t="s">
        <v>52</v>
      </c>
      <c r="C1" s="2" t="s">
        <v>60</v>
      </c>
      <c r="D1" s="2" t="s">
        <v>59</v>
      </c>
      <c r="E1" s="2" t="s">
        <v>53</v>
      </c>
      <c r="F1" t="s">
        <v>58</v>
      </c>
      <c r="G1" s="2" t="s">
        <v>57</v>
      </c>
      <c r="H1" t="s">
        <v>56</v>
      </c>
      <c r="I1" s="2" t="s">
        <v>55</v>
      </c>
      <c r="J1" s="2" t="s">
        <v>61</v>
      </c>
      <c r="K1" t="s">
        <v>68</v>
      </c>
      <c r="L1" t="s">
        <v>67</v>
      </c>
      <c r="M1" t="s">
        <v>66</v>
      </c>
      <c r="N1" t="s">
        <v>65</v>
      </c>
      <c r="O1" t="s">
        <v>64</v>
      </c>
      <c r="P1" t="s">
        <v>63</v>
      </c>
      <c r="Q1" t="s">
        <v>62</v>
      </c>
      <c r="R1" t="s">
        <v>69</v>
      </c>
    </row>
    <row r="2" spans="1:18">
      <c r="A2" s="1" t="s">
        <v>0</v>
      </c>
      <c r="B2">
        <v>0.4988896465776354</v>
      </c>
      <c r="C2">
        <v>0.4103810063476126</v>
      </c>
      <c r="D2">
        <v>0.64196682125158633</v>
      </c>
      <c r="E2">
        <v>0.55718166567669236</v>
      </c>
      <c r="F2">
        <v>0.37980235293066134</v>
      </c>
      <c r="G2">
        <v>0.44105346772714449</v>
      </c>
      <c r="H2">
        <v>0.45718908215641552</v>
      </c>
      <c r="I2">
        <v>0.4998652162700547</v>
      </c>
      <c r="J2">
        <v>1.4612262837641488</v>
      </c>
      <c r="K2" s="3">
        <f>(C2-$B2)^2</f>
        <v>7.833779395367611E-3</v>
      </c>
      <c r="L2" s="3">
        <f t="shared" ref="L2:R17" si="0">(D2-$B2)^2</f>
        <v>2.0471077912680265E-2</v>
      </c>
      <c r="M2" s="3">
        <f t="shared" si="0"/>
        <v>3.3979594906448211E-3</v>
      </c>
      <c r="N2" s="3">
        <f t="shared" si="0"/>
        <v>1.418178350816063E-2</v>
      </c>
      <c r="O2" s="3">
        <f t="shared" si="0"/>
        <v>3.3450235840259729E-3</v>
      </c>
      <c r="P2" s="3">
        <f t="shared" si="0"/>
        <v>1.7389370730483099E-3</v>
      </c>
      <c r="Q2" s="3">
        <f t="shared" si="0"/>
        <v>9.5173622476708377E-7</v>
      </c>
      <c r="R2" s="3">
        <f t="shared" si="0"/>
        <v>0.92609180327144713</v>
      </c>
    </row>
    <row r="3" spans="1:18">
      <c r="A3" s="1" t="s">
        <v>1</v>
      </c>
      <c r="B3">
        <v>0.49167822468932149</v>
      </c>
      <c r="C3">
        <v>0.35972118495792726</v>
      </c>
      <c r="D3">
        <v>0.56943100332767149</v>
      </c>
      <c r="E3">
        <v>0.46790820797249166</v>
      </c>
      <c r="F3">
        <v>0.42896224861767968</v>
      </c>
      <c r="G3">
        <v>0.38833701298511164</v>
      </c>
      <c r="H3">
        <v>0.41963594602843496</v>
      </c>
      <c r="I3">
        <v>0.36350902148878556</v>
      </c>
      <c r="J3" t="e">
        <v>#DIV/0!</v>
      </c>
      <c r="K3" s="3">
        <f t="shared" ref="K3:K52" si="1">(C3-$B3)^2</f>
        <v>1.7412660334672755E-2</v>
      </c>
      <c r="L3" s="3">
        <f>(D3-$B3)^2</f>
        <v>6.045494585984257E-3</v>
      </c>
      <c r="M3" s="3">
        <f t="shared" si="0"/>
        <v>5.6501369471836926E-4</v>
      </c>
      <c r="N3" s="3">
        <f t="shared" si="0"/>
        <v>3.9332936546187481E-3</v>
      </c>
      <c r="O3" s="3">
        <f t="shared" si="0"/>
        <v>1.0679406036494319E-2</v>
      </c>
      <c r="P3" s="3">
        <f t="shared" si="0"/>
        <v>5.1900899146528259E-3</v>
      </c>
      <c r="Q3" s="3">
        <f t="shared" si="0"/>
        <v>1.6427344649060271E-2</v>
      </c>
      <c r="R3" s="3"/>
    </row>
    <row r="4" spans="1:18">
      <c r="A4" s="1" t="s">
        <v>2</v>
      </c>
      <c r="B4">
        <v>0.75160999403385675</v>
      </c>
      <c r="C4">
        <v>0.54986940380953075</v>
      </c>
      <c r="D4">
        <v>0.74932759432942886</v>
      </c>
      <c r="E4">
        <v>0.70203988414740381</v>
      </c>
      <c r="F4">
        <v>0.54940291738564351</v>
      </c>
      <c r="G4">
        <v>0.6177344363536027</v>
      </c>
      <c r="H4">
        <v>0.62635178748144626</v>
      </c>
      <c r="I4">
        <v>0.65993084024322568</v>
      </c>
      <c r="J4">
        <v>0.66425321241950852</v>
      </c>
      <c r="K4" s="3">
        <f t="shared" si="1"/>
        <v>4.0699265744059417E-2</v>
      </c>
      <c r="L4" s="3">
        <f t="shared" si="0"/>
        <v>5.2093484107725443E-6</v>
      </c>
      <c r="M4" s="3">
        <f t="shared" si="0"/>
        <v>2.4571957941550196E-3</v>
      </c>
      <c r="N4" s="3">
        <f t="shared" si="0"/>
        <v>4.0887701846616387E-2</v>
      </c>
      <c r="O4" s="3">
        <f t="shared" si="0"/>
        <v>1.7922664944199029E-2</v>
      </c>
      <c r="P4" s="3">
        <f t="shared" si="0"/>
        <v>1.5689618308726332E-2</v>
      </c>
      <c r="Q4" s="3">
        <f t="shared" si="0"/>
        <v>8.4050672397661848E-3</v>
      </c>
      <c r="R4" s="3">
        <f t="shared" si="0"/>
        <v>7.6312072940169298E-3</v>
      </c>
    </row>
    <row r="5" spans="1:18">
      <c r="A5" s="1" t="s">
        <v>3</v>
      </c>
      <c r="B5">
        <v>0.72348957991500273</v>
      </c>
      <c r="C5">
        <v>0.61633171648021834</v>
      </c>
      <c r="D5">
        <v>0.73927342338128321</v>
      </c>
      <c r="E5">
        <v>0.69770632799231658</v>
      </c>
      <c r="F5">
        <v>0.5897323367940287</v>
      </c>
      <c r="G5">
        <v>0.62368736299468164</v>
      </c>
      <c r="H5">
        <v>0.63449259686336601</v>
      </c>
      <c r="I5">
        <v>0.63037580573470831</v>
      </c>
      <c r="J5">
        <v>3.9445704354671694E+24</v>
      </c>
      <c r="K5" s="3">
        <f t="shared" si="1"/>
        <v>1.1482807695907902E-2</v>
      </c>
      <c r="L5" s="3">
        <f t="shared" si="0"/>
        <v>2.4912971456804493E-4</v>
      </c>
      <c r="M5" s="3">
        <f t="shared" si="0"/>
        <v>6.6477607970869945E-4</v>
      </c>
      <c r="N5" s="3">
        <f t="shared" si="0"/>
        <v>1.7891000087323354E-2</v>
      </c>
      <c r="O5" s="3">
        <f t="shared" si="0"/>
        <v>9.9604825022108264E-3</v>
      </c>
      <c r="P5" s="3">
        <f t="shared" si="0"/>
        <v>7.9204629922933149E-3</v>
      </c>
      <c r="Q5" s="3">
        <f t="shared" si="0"/>
        <v>8.6701749420988652E-3</v>
      </c>
      <c r="R5" s="3"/>
    </row>
    <row r="6" spans="1:18">
      <c r="A6" s="1" t="s">
        <v>4</v>
      </c>
      <c r="B6">
        <v>0.74907640074987103</v>
      </c>
      <c r="C6">
        <v>0.65488286803722817</v>
      </c>
      <c r="D6">
        <v>0.81813785400714623</v>
      </c>
      <c r="E6">
        <v>0.80168029451652378</v>
      </c>
      <c r="F6">
        <v>0.67328794521739621</v>
      </c>
      <c r="G6">
        <v>0.72415287089300751</v>
      </c>
      <c r="H6">
        <v>0.49999999310596854</v>
      </c>
      <c r="I6">
        <v>0.75043178110852526</v>
      </c>
      <c r="J6">
        <v>0.73310053799946373</v>
      </c>
      <c r="K6" s="3">
        <f t="shared" si="1"/>
        <v>8.8724216048877199E-3</v>
      </c>
      <c r="L6" s="3">
        <f t="shared" si="0"/>
        <v>4.7694843260068067E-3</v>
      </c>
      <c r="M6" s="3">
        <f t="shared" si="0"/>
        <v>2.7671696394132883E-3</v>
      </c>
      <c r="N6" s="3">
        <f t="shared" si="0"/>
        <v>5.7438899919979129E-3</v>
      </c>
      <c r="O6" s="3">
        <f t="shared" si="0"/>
        <v>6.2118234052596752E-4</v>
      </c>
      <c r="P6" s="3">
        <f t="shared" si="0"/>
        <v>6.2039056844791482E-2</v>
      </c>
      <c r="Q6" s="3">
        <f t="shared" si="0"/>
        <v>1.8370559166256816E-6</v>
      </c>
      <c r="R6" s="3">
        <f t="shared" si="0"/>
        <v>2.5522819061985148E-4</v>
      </c>
    </row>
    <row r="7" spans="1:18">
      <c r="A7" s="1" t="s">
        <v>5</v>
      </c>
      <c r="B7">
        <v>0.65122476181031153</v>
      </c>
      <c r="C7">
        <v>0.50229932578879832</v>
      </c>
      <c r="D7">
        <v>0.90272648320647897</v>
      </c>
      <c r="E7">
        <v>0.70032436968013401</v>
      </c>
      <c r="F7">
        <v>0.5604146963925134</v>
      </c>
      <c r="G7">
        <v>0.61545712968451494</v>
      </c>
      <c r="H7">
        <v>0.62653059719773563</v>
      </c>
      <c r="I7">
        <v>0.63576257971185346</v>
      </c>
      <c r="J7">
        <v>0.61928666108501307</v>
      </c>
      <c r="K7" s="3">
        <f t="shared" si="1"/>
        <v>2.2178785494197821E-2</v>
      </c>
      <c r="L7" s="3">
        <f t="shared" si="0"/>
        <v>6.3253115865235424E-2</v>
      </c>
      <c r="M7" s="3">
        <f t="shared" si="0"/>
        <v>2.4107714929703337E-3</v>
      </c>
      <c r="N7" s="3">
        <f t="shared" si="0"/>
        <v>8.2464679811847744E-3</v>
      </c>
      <c r="O7" s="3">
        <f t="shared" si="0"/>
        <v>1.2793235078863163E-3</v>
      </c>
      <c r="P7" s="3">
        <f t="shared" si="0"/>
        <v>6.0980176591299577E-4</v>
      </c>
      <c r="Q7" s="3">
        <f t="shared" si="0"/>
        <v>2.3907907524587708E-4</v>
      </c>
      <c r="R7" s="3">
        <f t="shared" si="0"/>
        <v>1.0200422779393099E-3</v>
      </c>
    </row>
    <row r="8" spans="1:18">
      <c r="A8" s="1" t="s">
        <v>6</v>
      </c>
      <c r="B8">
        <v>0.59698725872736813</v>
      </c>
      <c r="C8">
        <v>0.5082347084884522</v>
      </c>
      <c r="D8">
        <v>0.64963687848526885</v>
      </c>
      <c r="E8">
        <v>0.62742512250134197</v>
      </c>
      <c r="F8">
        <v>0.53592682253417923</v>
      </c>
      <c r="G8">
        <v>0.5068129951768795</v>
      </c>
      <c r="H8">
        <v>0.52767852401490234</v>
      </c>
      <c r="I8">
        <v>0.49888580663060372</v>
      </c>
      <c r="J8">
        <v>4.6059303395727675E+71</v>
      </c>
      <c r="K8" s="3">
        <f t="shared" si="1"/>
        <v>7.8770151739112962E-3</v>
      </c>
      <c r="L8" s="3">
        <f t="shared" si="0"/>
        <v>2.77198246065153E-3</v>
      </c>
      <c r="M8" s="3">
        <f t="shared" si="0"/>
        <v>9.2646355112298892E-4</v>
      </c>
      <c r="N8" s="3">
        <f t="shared" si="0"/>
        <v>3.7283768681024938E-3</v>
      </c>
      <c r="O8" s="3">
        <f t="shared" si="0"/>
        <v>8.1313978068729819E-3</v>
      </c>
      <c r="P8" s="3">
        <f t="shared" si="0"/>
        <v>4.8037007074429603E-3</v>
      </c>
      <c r="Q8" s="3">
        <f t="shared" si="0"/>
        <v>9.6238949034937616E-3</v>
      </c>
      <c r="R8" s="3"/>
    </row>
    <row r="9" spans="1:18">
      <c r="A9" s="1" t="s">
        <v>7</v>
      </c>
      <c r="B9">
        <v>0.53992833375848182</v>
      </c>
      <c r="C9">
        <v>0.31725108779505079</v>
      </c>
      <c r="D9">
        <v>0.65001152084830172</v>
      </c>
      <c r="E9">
        <v>0.46576532945528742</v>
      </c>
      <c r="F9">
        <v>0.47277149735553742</v>
      </c>
      <c r="G9">
        <v>0.33478369347972836</v>
      </c>
      <c r="H9">
        <v>0.38794257718892583</v>
      </c>
      <c r="I9">
        <v>0.2119121006110162</v>
      </c>
      <c r="J9">
        <v>0.47277268381757936</v>
      </c>
      <c r="K9" s="3">
        <f t="shared" si="1"/>
        <v>4.9585155869858358E-2</v>
      </c>
      <c r="L9" s="3">
        <f t="shared" si="0"/>
        <v>1.2118308079852291E-2</v>
      </c>
      <c r="M9" s="3">
        <f t="shared" si="0"/>
        <v>5.5001512072756298E-3</v>
      </c>
      <c r="N9" s="3">
        <f t="shared" si="0"/>
        <v>4.5100406756518382E-3</v>
      </c>
      <c r="O9" s="3">
        <f t="shared" si="0"/>
        <v>4.2084323435099151E-2</v>
      </c>
      <c r="P9" s="3">
        <f t="shared" si="0"/>
        <v>2.3099670200020329E-2</v>
      </c>
      <c r="Q9" s="3">
        <f t="shared" si="0"/>
        <v>0.10759464920825254</v>
      </c>
      <c r="R9" s="3">
        <f t="shared" si="0"/>
        <v>4.5098813189850314E-3</v>
      </c>
    </row>
    <row r="10" spans="1:18">
      <c r="A10" s="1" t="s">
        <v>8</v>
      </c>
      <c r="B10">
        <v>0.92763157894736881</v>
      </c>
      <c r="C10">
        <v>0.89724310774238314</v>
      </c>
      <c r="D10">
        <v>0.95603175105108529</v>
      </c>
      <c r="E10">
        <v>0.9577679067907493</v>
      </c>
      <c r="F10">
        <v>0.90384033612236248</v>
      </c>
      <c r="G10">
        <v>0.82461199188817635</v>
      </c>
      <c r="H10">
        <v>0.4999998449964595</v>
      </c>
      <c r="I10">
        <v>0.75326179274285643</v>
      </c>
      <c r="J10">
        <v>0.90391079400255703</v>
      </c>
      <c r="K10" s="3">
        <f t="shared" si="1"/>
        <v>9.2345918217624312E-4</v>
      </c>
      <c r="L10" s="3">
        <f t="shared" si="0"/>
        <v>8.0656977552071582E-4</v>
      </c>
      <c r="M10" s="3">
        <f t="shared" si="0"/>
        <v>9.0819825588371052E-4</v>
      </c>
      <c r="N10" s="3">
        <f t="shared" si="0"/>
        <v>5.6602323515841523E-4</v>
      </c>
      <c r="O10" s="3">
        <f t="shared" si="0"/>
        <v>1.0613035317846534E-2</v>
      </c>
      <c r="P10" s="3">
        <f t="shared" si="0"/>
        <v>0.18286889988186128</v>
      </c>
      <c r="Q10" s="3">
        <f t="shared" si="0"/>
        <v>3.0404822341007356E-2</v>
      </c>
      <c r="R10" s="3">
        <f t="shared" si="0"/>
        <v>5.6267563839800915E-4</v>
      </c>
    </row>
    <row r="11" spans="1:18">
      <c r="A11" s="1" t="s">
        <v>9</v>
      </c>
      <c r="B11">
        <v>0.78913399806669671</v>
      </c>
      <c r="C11">
        <v>0.67581525027813283</v>
      </c>
      <c r="D11">
        <v>0.80490686407642897</v>
      </c>
      <c r="E11">
        <v>0.78112810387398091</v>
      </c>
      <c r="F11">
        <v>0.65271835340936046</v>
      </c>
      <c r="G11">
        <v>0.645991461091876</v>
      </c>
      <c r="H11">
        <v>0.65636150421835271</v>
      </c>
      <c r="I11">
        <v>0.66250583745867986</v>
      </c>
      <c r="J11">
        <v>4.445485845841585E+22</v>
      </c>
      <c r="K11" s="3">
        <f t="shared" si="1"/>
        <v>1.2841138600368151E-2</v>
      </c>
      <c r="L11" s="3">
        <f t="shared" si="0"/>
        <v>2.487833021609675E-4</v>
      </c>
      <c r="M11" s="3">
        <f t="shared" si="0"/>
        <v>6.4094341824960589E-5</v>
      </c>
      <c r="N11" s="3">
        <f t="shared" si="0"/>
        <v>1.8609228107276631E-2</v>
      </c>
      <c r="O11" s="3">
        <f t="shared" si="0"/>
        <v>2.0489785891587915E-2</v>
      </c>
      <c r="P11" s="3">
        <f t="shared" si="0"/>
        <v>1.7628535122708545E-2</v>
      </c>
      <c r="Q11" s="3">
        <f t="shared" si="0"/>
        <v>1.6034691058969711E-2</v>
      </c>
      <c r="R11" s="3"/>
    </row>
    <row r="12" spans="1:18">
      <c r="A12" s="1" t="s">
        <v>10</v>
      </c>
      <c r="B12">
        <v>0.78041163569209537</v>
      </c>
      <c r="C12">
        <v>0.75679510055932298</v>
      </c>
      <c r="D12">
        <v>0.97654256102199366</v>
      </c>
      <c r="E12">
        <v>0.81695072255622836</v>
      </c>
      <c r="F12">
        <v>0.67770730407009949</v>
      </c>
      <c r="G12">
        <v>0.68684567206937219</v>
      </c>
      <c r="H12">
        <v>0.69360822847432047</v>
      </c>
      <c r="I12">
        <v>0.71567779432706213</v>
      </c>
      <c r="J12">
        <v>15.579558705195716</v>
      </c>
      <c r="K12" s="3">
        <f t="shared" si="1"/>
        <v>5.5774073167747299E-4</v>
      </c>
      <c r="L12" s="3">
        <f t="shared" si="0"/>
        <v>3.8467339870762139E-2</v>
      </c>
      <c r="M12" s="3">
        <f t="shared" si="0"/>
        <v>1.3351048688646557E-3</v>
      </c>
      <c r="N12" s="3">
        <f t="shared" si="0"/>
        <v>1.0548179733920903E-2</v>
      </c>
      <c r="O12" s="3">
        <f t="shared" si="0"/>
        <v>8.7545895486487568E-3</v>
      </c>
      <c r="P12" s="3">
        <f t="shared" si="0"/>
        <v>7.5348315046148574E-3</v>
      </c>
      <c r="Q12" s="3">
        <f t="shared" si="0"/>
        <v>4.1904702178732888E-3</v>
      </c>
      <c r="R12" s="3"/>
    </row>
    <row r="13" spans="1:18">
      <c r="A13" s="1" t="s">
        <v>11</v>
      </c>
      <c r="B13">
        <v>0.92352291552127064</v>
      </c>
      <c r="C13">
        <v>0.87550872248939504</v>
      </c>
      <c r="D13">
        <v>0.934555090725951</v>
      </c>
      <c r="E13">
        <v>0.95394201332851492</v>
      </c>
      <c r="F13">
        <v>0.89476741517931679</v>
      </c>
      <c r="G13">
        <v>0.89208148041636925</v>
      </c>
      <c r="H13">
        <v>0.49999997997761825</v>
      </c>
      <c r="I13">
        <v>0.88279694639055983</v>
      </c>
      <c r="J13">
        <v>0.89494534650258106</v>
      </c>
      <c r="K13" s="3">
        <f t="shared" si="1"/>
        <v>2.3053627325022108E-3</v>
      </c>
      <c r="L13" s="3">
        <f t="shared" si="0"/>
        <v>1.2170888974676417E-4</v>
      </c>
      <c r="M13" s="3">
        <f t="shared" si="0"/>
        <v>9.2532151140669358E-4</v>
      </c>
      <c r="N13" s="3">
        <f t="shared" si="0"/>
        <v>8.268787999161076E-4</v>
      </c>
      <c r="O13" s="3">
        <f t="shared" si="0"/>
        <v>9.8856384145572501E-4</v>
      </c>
      <c r="P13" s="3">
        <f t="shared" si="0"/>
        <v>0.17937167693151274</v>
      </c>
      <c r="Q13" s="3">
        <f t="shared" si="0"/>
        <v>1.6586045616356093E-3</v>
      </c>
      <c r="R13" s="3">
        <f t="shared" si="0"/>
        <v>8.1667745101796627E-4</v>
      </c>
    </row>
    <row r="14" spans="1:18">
      <c r="A14" s="1" t="s">
        <v>12</v>
      </c>
      <c r="B14">
        <v>0.48286273869980456</v>
      </c>
      <c r="C14">
        <v>0.30442537712688994</v>
      </c>
      <c r="D14">
        <v>1</v>
      </c>
      <c r="E14">
        <v>0.42906236317680341</v>
      </c>
      <c r="F14">
        <v>0.39062006896335327</v>
      </c>
      <c r="G14">
        <v>0.34087375955829813</v>
      </c>
      <c r="H14">
        <v>0.37721422592049075</v>
      </c>
      <c r="I14">
        <v>0.30884256651282765</v>
      </c>
      <c r="J14">
        <v>0.39062298026000963</v>
      </c>
      <c r="K14" s="3">
        <f t="shared" si="1"/>
        <v>3.1839892005103065E-2</v>
      </c>
      <c r="L14" s="3">
        <f t="shared" si="0"/>
        <v>0.26743094702506659</v>
      </c>
      <c r="M14" s="3">
        <f t="shared" si="0"/>
        <v>2.8944804064159418E-3</v>
      </c>
      <c r="N14" s="3">
        <f t="shared" si="0"/>
        <v>8.5087101201080269E-3</v>
      </c>
      <c r="O14" s="3">
        <f t="shared" si="0"/>
        <v>2.016087019764715E-2</v>
      </c>
      <c r="P14" s="3">
        <f t="shared" si="0"/>
        <v>1.1161608252480833E-2</v>
      </c>
      <c r="Q14" s="3">
        <f t="shared" si="0"/>
        <v>3.0283020327985091E-2</v>
      </c>
      <c r="R14" s="3">
        <f t="shared" si="0"/>
        <v>8.5081730370317188E-3</v>
      </c>
    </row>
    <row r="15" spans="1:18">
      <c r="A15" s="1" t="s">
        <v>13</v>
      </c>
      <c r="B15">
        <v>0.71223649327473038</v>
      </c>
      <c r="C15">
        <v>0.63959432956298923</v>
      </c>
      <c r="D15">
        <v>0.82106365357675282</v>
      </c>
      <c r="E15">
        <v>0.8341468234106677</v>
      </c>
      <c r="F15">
        <v>0.7217239699524215</v>
      </c>
      <c r="G15">
        <v>0.70533673351337722</v>
      </c>
      <c r="H15">
        <v>0.49999986228681353</v>
      </c>
      <c r="I15">
        <v>0.68202180198512241</v>
      </c>
      <c r="J15">
        <v>0.72281456782540077</v>
      </c>
      <c r="K15" s="3">
        <f t="shared" si="1"/>
        <v>5.2768839487234024E-3</v>
      </c>
      <c r="L15" s="3">
        <f t="shared" si="0"/>
        <v>1.1843350819402089E-2</v>
      </c>
      <c r="M15" s="3">
        <f t="shared" si="0"/>
        <v>1.4862128593853229E-2</v>
      </c>
      <c r="N15" s="3">
        <f t="shared" si="0"/>
        <v>9.0012213709732939E-5</v>
      </c>
      <c r="O15" s="3">
        <f t="shared" si="0"/>
        <v>4.7606684764388114E-5</v>
      </c>
      <c r="P15" s="3">
        <f t="shared" si="0"/>
        <v>4.5044387533101186E-2</v>
      </c>
      <c r="Q15" s="3">
        <f t="shared" si="0"/>
        <v>9.1292756972631138E-4</v>
      </c>
      <c r="R15" s="3">
        <f t="shared" si="0"/>
        <v>1.1189566119954059E-4</v>
      </c>
    </row>
    <row r="16" spans="1:18">
      <c r="A16" s="1" t="s">
        <v>14</v>
      </c>
      <c r="B16">
        <v>0.46724513390347233</v>
      </c>
      <c r="C16">
        <v>0.37023940819930629</v>
      </c>
      <c r="D16">
        <v>0.70909633096239022</v>
      </c>
      <c r="E16">
        <v>0.53224930794151892</v>
      </c>
      <c r="F16">
        <v>0.40082143358851935</v>
      </c>
      <c r="G16">
        <v>0.423060913609482</v>
      </c>
      <c r="H16">
        <v>0.44510208726316369</v>
      </c>
      <c r="I16">
        <v>0.45059239948896607</v>
      </c>
      <c r="J16">
        <v>0.79002307261551197</v>
      </c>
      <c r="K16" s="3">
        <f t="shared" si="1"/>
        <v>9.4101108193919009E-3</v>
      </c>
      <c r="L16" s="3">
        <f t="shared" si="0"/>
        <v>5.8492001518831535E-2</v>
      </c>
      <c r="M16" s="3">
        <f t="shared" si="0"/>
        <v>4.2255426423686501E-3</v>
      </c>
      <c r="N16" s="3">
        <f t="shared" si="0"/>
        <v>4.4121079635306851E-3</v>
      </c>
      <c r="O16" s="3">
        <f t="shared" si="0"/>
        <v>1.9522453229878667E-3</v>
      </c>
      <c r="P16" s="3">
        <f t="shared" si="0"/>
        <v>4.9031451451488366E-4</v>
      </c>
      <c r="Q16" s="3">
        <f t="shared" si="0"/>
        <v>2.7731356348008134E-4</v>
      </c>
      <c r="R16" s="3">
        <f t="shared" si="0"/>
        <v>0.10418559771919321</v>
      </c>
    </row>
    <row r="17" spans="1:18">
      <c r="A17" s="1" t="s">
        <v>15</v>
      </c>
      <c r="B17">
        <v>0.64740368512794977</v>
      </c>
      <c r="C17">
        <v>0.40676201518953564</v>
      </c>
      <c r="D17">
        <v>0.63264162969766635</v>
      </c>
      <c r="E17">
        <v>0.55589111588641782</v>
      </c>
      <c r="F17">
        <v>0.41774582999870147</v>
      </c>
      <c r="G17">
        <v>0.45614706797739563</v>
      </c>
      <c r="H17">
        <v>0.47627936054202263</v>
      </c>
      <c r="I17">
        <v>0.48012767140740031</v>
      </c>
      <c r="J17">
        <v>3.2333154417314423</v>
      </c>
      <c r="K17" s="3">
        <f t="shared" si="1"/>
        <v>5.7908413310748648E-2</v>
      </c>
      <c r="L17" s="3">
        <f t="shared" si="0"/>
        <v>2.179182805267601E-4</v>
      </c>
      <c r="M17" s="3">
        <f t="shared" si="0"/>
        <v>8.3745503291861798E-3</v>
      </c>
      <c r="N17" s="3">
        <f t="shared" si="0"/>
        <v>5.2742730422566803E-2</v>
      </c>
      <c r="O17" s="3">
        <f t="shared" si="0"/>
        <v>3.6579093603873639E-2</v>
      </c>
      <c r="P17" s="3">
        <f t="shared" si="0"/>
        <v>2.9283534464989745E-2</v>
      </c>
      <c r="Q17" s="3">
        <f t="shared" si="0"/>
        <v>2.7981264766237451E-2</v>
      </c>
      <c r="R17" s="3">
        <f t="shared" si="0"/>
        <v>6.6869396129401606</v>
      </c>
    </row>
    <row r="18" spans="1:18">
      <c r="A18" s="1" t="s">
        <v>16</v>
      </c>
      <c r="B18">
        <v>0.41467938525876158</v>
      </c>
      <c r="C18">
        <v>2.5512084935744413E-2</v>
      </c>
      <c r="D18">
        <v>0.82074950698162608</v>
      </c>
      <c r="E18">
        <v>0.44841102498711211</v>
      </c>
      <c r="F18">
        <v>0.2730776044331002</v>
      </c>
      <c r="G18">
        <v>0.32674068268044848</v>
      </c>
      <c r="H18">
        <v>0.35625701969946172</v>
      </c>
      <c r="I18">
        <v>0.35218770805028649</v>
      </c>
      <c r="J18">
        <v>0.3315926314680207</v>
      </c>
      <c r="K18" s="3">
        <f t="shared" si="1"/>
        <v>0.15145118764070542</v>
      </c>
      <c r="L18" s="3">
        <f t="shared" ref="L18:L53" si="2">(D18-$B18)^2</f>
        <v>0.16489294375602198</v>
      </c>
      <c r="M18" s="3">
        <f t="shared" ref="M18:M53" si="3">(E18-$B18)^2</f>
        <v>1.1378235187632355E-3</v>
      </c>
      <c r="N18" s="3">
        <f t="shared" ref="N18:N53" si="4">(F18-$B18)^2</f>
        <v>2.0051064332998643E-2</v>
      </c>
      <c r="O18" s="3">
        <f t="shared" ref="O18:O53" si="5">(G18-$B18)^2</f>
        <v>7.7332154111570111E-3</v>
      </c>
      <c r="P18" s="3">
        <f t="shared" ref="P18:P53" si="6">(H18-$B18)^2</f>
        <v>3.4131727975444666E-3</v>
      </c>
      <c r="Q18" s="3">
        <f t="shared" ref="Q18:Q53" si="7">(I18-$B18)^2</f>
        <v>3.9052097203282456E-3</v>
      </c>
      <c r="R18" s="3">
        <f t="shared" ref="R18:R53" si="8">(J18-$B18)^2</f>
        <v>6.9034086554831935E-3</v>
      </c>
    </row>
    <row r="19" spans="1:18">
      <c r="A19" s="1" t="s">
        <v>17</v>
      </c>
      <c r="B19">
        <v>0.67095971034354507</v>
      </c>
      <c r="C19">
        <v>0.52889621138242204</v>
      </c>
      <c r="D19">
        <v>0.83301828590109184</v>
      </c>
      <c r="E19">
        <v>0.70479660579790404</v>
      </c>
      <c r="F19">
        <v>0.57125443744590387</v>
      </c>
      <c r="G19">
        <v>0.54881708092780468</v>
      </c>
      <c r="H19">
        <v>0.56860085520952519</v>
      </c>
      <c r="I19">
        <v>0.52281251877667245</v>
      </c>
      <c r="J19">
        <v>0.57130712235166947</v>
      </c>
      <c r="K19" s="3">
        <f t="shared" si="1"/>
        <v>2.0182037737077003E-2</v>
      </c>
      <c r="L19" s="3">
        <f t="shared" si="2"/>
        <v>2.6262981911741094E-2</v>
      </c>
      <c r="M19" s="3">
        <f t="shared" si="3"/>
        <v>1.144935493989219E-3</v>
      </c>
      <c r="N19" s="3">
        <f t="shared" si="4"/>
        <v>9.9411414435931038E-3</v>
      </c>
      <c r="O19" s="3">
        <f t="shared" si="5"/>
        <v>1.4918821920590889E-2</v>
      </c>
      <c r="P19" s="3">
        <f t="shared" si="6"/>
        <v>1.0477335224347267E-2</v>
      </c>
      <c r="Q19" s="3">
        <f t="shared" si="7"/>
        <v>2.1947590369151653E-2</v>
      </c>
      <c r="R19" s="3">
        <f t="shared" si="8"/>
        <v>9.9306382934785092E-3</v>
      </c>
    </row>
    <row r="20" spans="1:18">
      <c r="A20" s="1" t="s">
        <v>18</v>
      </c>
      <c r="B20">
        <v>0.6862135398618977</v>
      </c>
      <c r="C20">
        <v>0.63537915553857061</v>
      </c>
      <c r="D20">
        <v>0.77412561456010054</v>
      </c>
      <c r="E20">
        <v>0.73462524368439108</v>
      </c>
      <c r="F20">
        <v>0.58933454003997099</v>
      </c>
      <c r="G20">
        <v>0.65332430788177487</v>
      </c>
      <c r="H20">
        <v>0.66024257427868338</v>
      </c>
      <c r="I20">
        <v>0.69668516339192454</v>
      </c>
      <c r="J20">
        <v>0.77815502788706636</v>
      </c>
      <c r="K20" s="3">
        <f t="shared" si="1"/>
        <v>2.5841346295317237E-3</v>
      </c>
      <c r="L20" s="3">
        <f t="shared" si="2"/>
        <v>7.728532877742395E-3</v>
      </c>
      <c r="M20" s="3">
        <f t="shared" si="3"/>
        <v>2.34369306699682E-3</v>
      </c>
      <c r="N20" s="3">
        <f t="shared" si="4"/>
        <v>9.3855406064968765E-3</v>
      </c>
      <c r="O20" s="3">
        <f t="shared" si="5"/>
        <v>1.0817015802423347E-3</v>
      </c>
      <c r="P20" s="3">
        <f t="shared" si="6"/>
        <v>6.7449105332450284E-4</v>
      </c>
      <c r="Q20" s="3">
        <f t="shared" si="7"/>
        <v>1.096548993546118E-4</v>
      </c>
      <c r="R20" s="3">
        <f t="shared" si="8"/>
        <v>8.4532372202822323E-3</v>
      </c>
    </row>
    <row r="21" spans="1:18">
      <c r="A21" s="1" t="s">
        <v>19</v>
      </c>
      <c r="B21">
        <v>0.35802055408648653</v>
      </c>
      <c r="C21">
        <v>0.25857660609373945</v>
      </c>
      <c r="D21">
        <v>0.56258665436452837</v>
      </c>
      <c r="E21">
        <v>0.43122475875564037</v>
      </c>
      <c r="F21">
        <v>0.44877426828484168</v>
      </c>
      <c r="G21">
        <v>0.26817271523021802</v>
      </c>
      <c r="H21">
        <v>0.32788184973355</v>
      </c>
      <c r="I21">
        <v>0.15806552633693718</v>
      </c>
      <c r="J21">
        <v>0.4487886348513826</v>
      </c>
      <c r="K21" s="3">
        <f t="shared" si="1"/>
        <v>9.8890987923841867E-3</v>
      </c>
      <c r="L21" s="3">
        <f t="shared" si="2"/>
        <v>4.184728938296587E-2</v>
      </c>
      <c r="M21" s="3">
        <f t="shared" si="3"/>
        <v>5.3588555812433642E-3</v>
      </c>
      <c r="N21" s="3">
        <f t="shared" si="4"/>
        <v>8.2362366407967291E-3</v>
      </c>
      <c r="O21" s="3">
        <f t="shared" si="5"/>
        <v>8.0726341471419934E-3</v>
      </c>
      <c r="P21" s="3">
        <f t="shared" si="6"/>
        <v>9.083415000737153E-4</v>
      </c>
      <c r="Q21" s="3">
        <f t="shared" si="7"/>
        <v>3.9982013122323051E-2</v>
      </c>
      <c r="R21" s="3">
        <f t="shared" si="8"/>
        <v>8.2388444857426947E-3</v>
      </c>
    </row>
    <row r="22" spans="1:18">
      <c r="A22" s="1" t="s">
        <v>20</v>
      </c>
      <c r="B22">
        <v>0.79668180827326407</v>
      </c>
      <c r="C22">
        <v>0.67348187118448322</v>
      </c>
      <c r="D22">
        <v>0.82733810259339235</v>
      </c>
      <c r="E22">
        <v>0.82256620561373994</v>
      </c>
      <c r="F22">
        <v>0.697610843689355</v>
      </c>
      <c r="G22">
        <v>0.69337594069505626</v>
      </c>
      <c r="H22">
        <v>0.4999999840219681</v>
      </c>
      <c r="I22">
        <v>0.68367553077600018</v>
      </c>
      <c r="J22">
        <v>0.69791265027744354</v>
      </c>
      <c r="K22" s="3">
        <f t="shared" si="1"/>
        <v>1.517822449867956E-2</v>
      </c>
      <c r="L22" s="3">
        <f t="shared" si="2"/>
        <v>9.3980838144232975E-4</v>
      </c>
      <c r="M22" s="3">
        <f t="shared" si="3"/>
        <v>6.7000202567963447E-4</v>
      </c>
      <c r="N22" s="3">
        <f t="shared" si="4"/>
        <v>9.8150560235861651E-3</v>
      </c>
      <c r="O22" s="3">
        <f t="shared" si="5"/>
        <v>1.0672102276086207E-2</v>
      </c>
      <c r="P22" s="3">
        <f t="shared" si="6"/>
        <v>8.8020104841076863E-2</v>
      </c>
      <c r="Q22" s="3">
        <f t="shared" si="7"/>
        <v>1.277041875378861E-2</v>
      </c>
      <c r="R22" s="3">
        <f t="shared" si="8"/>
        <v>9.7553465712033587E-3</v>
      </c>
    </row>
    <row r="23" spans="1:18">
      <c r="A23" s="1" t="s">
        <v>21</v>
      </c>
      <c r="B23">
        <v>0.69953179298116697</v>
      </c>
      <c r="C23">
        <v>0.56968882675987065</v>
      </c>
      <c r="D23">
        <v>0.78118585928968709</v>
      </c>
      <c r="E23">
        <v>0.77333078387293042</v>
      </c>
      <c r="F23">
        <v>0.64870134396475809</v>
      </c>
      <c r="G23">
        <v>0.60042916394283496</v>
      </c>
      <c r="H23">
        <v>0.61754188390988851</v>
      </c>
      <c r="I23">
        <v>0.56848773126446328</v>
      </c>
      <c r="J23">
        <v>0.64912351782595745</v>
      </c>
      <c r="K23" s="3">
        <f t="shared" si="1"/>
        <v>1.6859195877144698E-2</v>
      </c>
      <c r="L23" s="3">
        <f t="shared" si="2"/>
        <v>6.6673865447162009E-3</v>
      </c>
      <c r="M23" s="3">
        <f t="shared" si="3"/>
        <v>5.4462910566425845E-3</v>
      </c>
      <c r="N23" s="3">
        <f t="shared" si="4"/>
        <v>2.5837345472097418E-3</v>
      </c>
      <c r="O23" s="3">
        <f t="shared" si="5"/>
        <v>9.8213310823092453E-3</v>
      </c>
      <c r="P23" s="3">
        <f t="shared" si="6"/>
        <v>6.7223451895165095E-3</v>
      </c>
      <c r="Q23" s="3">
        <f t="shared" si="7"/>
        <v>1.7172546111211245E-2</v>
      </c>
      <c r="R23" s="3">
        <f t="shared" si="8"/>
        <v>2.5409942041233128E-3</v>
      </c>
    </row>
    <row r="24" spans="1:18">
      <c r="A24" s="1" t="s">
        <v>22</v>
      </c>
      <c r="B24">
        <v>0.63609434301738843</v>
      </c>
      <c r="C24">
        <v>0.49729419782778705</v>
      </c>
      <c r="D24">
        <v>0.75800489023280382</v>
      </c>
      <c r="E24">
        <v>0.63763464585974827</v>
      </c>
      <c r="F24">
        <v>0.53350803192093099</v>
      </c>
      <c r="G24">
        <v>0.5255996371320838</v>
      </c>
      <c r="H24">
        <v>0.54548858608687578</v>
      </c>
      <c r="I24">
        <v>0.52080269206083274</v>
      </c>
      <c r="J24" t="e">
        <v>#DIV/0!</v>
      </c>
      <c r="K24" s="3">
        <f t="shared" si="1"/>
        <v>1.9265480304654421E-2</v>
      </c>
      <c r="L24" s="3">
        <f t="shared" si="2"/>
        <v>1.4862181522362024E-2</v>
      </c>
      <c r="M24" s="3">
        <f t="shared" si="3"/>
        <v>2.3725328461818081E-6</v>
      </c>
      <c r="N24" s="3">
        <f t="shared" si="4"/>
        <v>1.0523951224379147E-2</v>
      </c>
      <c r="O24" s="3">
        <f t="shared" si="5"/>
        <v>1.2209080028679974E-2</v>
      </c>
      <c r="P24" s="3">
        <f t="shared" si="6"/>
        <v>8.2094031889511417E-3</v>
      </c>
      <c r="Q24" s="3">
        <f t="shared" si="7"/>
        <v>1.3292164780288268E-2</v>
      </c>
      <c r="R24" s="3"/>
    </row>
    <row r="25" spans="1:18">
      <c r="A25" s="1" t="s">
        <v>23</v>
      </c>
      <c r="B25">
        <v>0.75156776410724835</v>
      </c>
      <c r="C25">
        <v>0.68484661978983807</v>
      </c>
      <c r="D25">
        <v>0.82912210496820704</v>
      </c>
      <c r="E25">
        <v>0.8152462505783612</v>
      </c>
      <c r="F25">
        <v>0.68761902116981632</v>
      </c>
      <c r="G25">
        <v>0.75476831640449271</v>
      </c>
      <c r="H25">
        <v>0.49999996961658222</v>
      </c>
      <c r="I25">
        <v>0.79869472234629124</v>
      </c>
      <c r="J25">
        <v>0.9654465427716733</v>
      </c>
      <c r="K25" s="3">
        <f t="shared" si="1"/>
        <v>4.4517110990246892E-3</v>
      </c>
      <c r="L25" s="3">
        <f t="shared" si="2"/>
        <v>6.0146757863777673E-3</v>
      </c>
      <c r="M25" s="3">
        <f t="shared" si="3"/>
        <v>4.0549496392517023E-3</v>
      </c>
      <c r="N25" s="3">
        <f t="shared" si="4"/>
        <v>4.0894417232777624E-3</v>
      </c>
      <c r="O25" s="3">
        <f t="shared" si="5"/>
        <v>1.0243535007396172E-5</v>
      </c>
      <c r="P25" s="3">
        <f t="shared" si="6"/>
        <v>6.3286355224898033E-2</v>
      </c>
      <c r="Q25" s="3">
        <f t="shared" si="7"/>
        <v>2.2209501928644928E-3</v>
      </c>
      <c r="R25" s="3">
        <f t="shared" si="8"/>
        <v>4.574413196298608E-2</v>
      </c>
    </row>
    <row r="26" spans="1:18">
      <c r="A26" s="1" t="s">
        <v>24</v>
      </c>
      <c r="B26">
        <v>0.47664472686774023</v>
      </c>
      <c r="C26">
        <v>0.31227927809505374</v>
      </c>
      <c r="D26">
        <v>0.60216350335334512</v>
      </c>
      <c r="E26">
        <v>0.47776509758375141</v>
      </c>
      <c r="F26">
        <v>0.32903204690484961</v>
      </c>
      <c r="G26">
        <v>0.36590088143911709</v>
      </c>
      <c r="H26">
        <v>0.38826144638263893</v>
      </c>
      <c r="I26">
        <v>0.4062325971901799</v>
      </c>
      <c r="J26">
        <v>13208.424554699197</v>
      </c>
      <c r="K26" s="3">
        <f t="shared" si="1"/>
        <v>2.7016000750246627E-2</v>
      </c>
      <c r="L26" s="3">
        <f t="shared" si="2"/>
        <v>1.5754963250443239E-2</v>
      </c>
      <c r="M26" s="3">
        <f t="shared" si="3"/>
        <v>1.2552305412953962E-6</v>
      </c>
      <c r="N26" s="3">
        <f t="shared" si="4"/>
        <v>2.178950328582677E-2</v>
      </c>
      <c r="O26" s="3">
        <f t="shared" si="5"/>
        <v>1.2264199300318775E-2</v>
      </c>
      <c r="P26" s="3">
        <f t="shared" si="6"/>
        <v>7.8116042693080886E-3</v>
      </c>
      <c r="Q26" s="3">
        <f t="shared" si="7"/>
        <v>4.957868005729572E-3</v>
      </c>
      <c r="R26" s="3"/>
    </row>
    <row r="27" spans="1:18">
      <c r="A27" s="1" t="s">
        <v>25</v>
      </c>
      <c r="B27">
        <v>0.62960138792457532</v>
      </c>
      <c r="C27">
        <v>0.50067234981980158</v>
      </c>
      <c r="D27">
        <v>0.87057908779016946</v>
      </c>
      <c r="E27">
        <v>0.68766980685903212</v>
      </c>
      <c r="F27">
        <v>0.52215805219005695</v>
      </c>
      <c r="G27">
        <v>0.59557443088485029</v>
      </c>
      <c r="H27">
        <v>0.60420819761398747</v>
      </c>
      <c r="I27">
        <v>0.64759388061035161</v>
      </c>
      <c r="J27">
        <v>0.74806405674676335</v>
      </c>
      <c r="K27" s="3">
        <f t="shared" si="1"/>
        <v>1.66226968666222E-2</v>
      </c>
      <c r="L27" s="3">
        <f t="shared" si="2"/>
        <v>5.8070251832512368E-2</v>
      </c>
      <c r="M27" s="3">
        <f t="shared" si="3"/>
        <v>3.3719412775475811E-3</v>
      </c>
      <c r="N27" s="3">
        <f t="shared" si="4"/>
        <v>1.1544070393760431E-2</v>
      </c>
      <c r="O27" s="3">
        <f t="shared" si="5"/>
        <v>1.1578338053832924E-3</v>
      </c>
      <c r="P27" s="3">
        <f t="shared" si="6"/>
        <v>6.4481411414973237E-4</v>
      </c>
      <c r="Q27" s="3">
        <f t="shared" si="7"/>
        <v>3.2372979304771352E-4</v>
      </c>
      <c r="R27" s="3">
        <f t="shared" si="8"/>
        <v>1.4033403904475401E-2</v>
      </c>
    </row>
    <row r="28" spans="1:18">
      <c r="A28" s="1" t="s">
        <v>26</v>
      </c>
      <c r="B28">
        <v>0.17784849756144186</v>
      </c>
      <c r="C28">
        <v>2.2148105447837189E-2</v>
      </c>
      <c r="D28">
        <v>0.36278818112213446</v>
      </c>
      <c r="E28">
        <v>0.2530797979056425</v>
      </c>
      <c r="F28">
        <v>0.27044101790945851</v>
      </c>
      <c r="G28">
        <v>0.14124370634185202</v>
      </c>
      <c r="H28">
        <v>0.2047844681404882</v>
      </c>
      <c r="I28">
        <v>6.8847234385367717E-2</v>
      </c>
      <c r="J28">
        <v>0.2759481845233927</v>
      </c>
      <c r="K28" s="3">
        <f t="shared" si="1"/>
        <v>2.4242612104330249E-2</v>
      </c>
      <c r="L28" s="3">
        <f t="shared" si="2"/>
        <v>3.4202686555529112E-2</v>
      </c>
      <c r="M28" s="3">
        <f t="shared" si="3"/>
        <v>5.6597485514793232E-3</v>
      </c>
      <c r="N28" s="3">
        <f t="shared" si="4"/>
        <v>8.573374824397878E-3</v>
      </c>
      <c r="O28" s="3">
        <f t="shared" si="5"/>
        <v>1.3399107402297617E-3</v>
      </c>
      <c r="P28" s="3">
        <f t="shared" si="6"/>
        <v>7.2554651103525012E-4</v>
      </c>
      <c r="Q28" s="3">
        <f t="shared" si="7"/>
        <v>1.1881275373979776E-2</v>
      </c>
      <c r="R28" s="3">
        <f t="shared" si="8"/>
        <v>9.6235485820327475E-3</v>
      </c>
    </row>
    <row r="29" spans="1:18">
      <c r="A29" s="1" t="s">
        <v>27</v>
      </c>
      <c r="B29">
        <v>0.64675615211847015</v>
      </c>
      <c r="C29">
        <v>0.52828379672179426</v>
      </c>
      <c r="D29">
        <v>0.77843808501949574</v>
      </c>
      <c r="E29">
        <v>0.7277452771466687</v>
      </c>
      <c r="F29">
        <v>0.51090263325989516</v>
      </c>
      <c r="G29">
        <v>0.65199647884599243</v>
      </c>
      <c r="H29">
        <v>0.65607983019915395</v>
      </c>
      <c r="I29">
        <v>0.71303202922927522</v>
      </c>
      <c r="J29">
        <v>0.72759317171789195</v>
      </c>
      <c r="K29" s="3">
        <f t="shared" si="1"/>
        <v>1.4035698993236279E-2</v>
      </c>
      <c r="L29" s="3">
        <f t="shared" si="2"/>
        <v>1.7340131452550204E-2</v>
      </c>
      <c r="M29" s="3">
        <f t="shared" si="3"/>
        <v>6.5592383728331769E-3</v>
      </c>
      <c r="N29" s="3">
        <f t="shared" si="4"/>
        <v>1.8456178586257192E-2</v>
      </c>
      <c r="O29" s="3">
        <f t="shared" si="5"/>
        <v>2.7461024211184388E-5</v>
      </c>
      <c r="P29" s="3">
        <f t="shared" si="6"/>
        <v>8.693097295222345E-5</v>
      </c>
      <c r="Q29" s="3">
        <f t="shared" si="7"/>
        <v>4.3924918868065354E-3</v>
      </c>
      <c r="R29" s="3">
        <f t="shared" si="8"/>
        <v>6.5346237377173046E-3</v>
      </c>
    </row>
    <row r="30" spans="1:18">
      <c r="A30" s="1" t="s">
        <v>28</v>
      </c>
      <c r="B30">
        <v>0.77644332070796351</v>
      </c>
      <c r="C30">
        <v>0.74562959644875804</v>
      </c>
      <c r="D30">
        <v>0.90193276124113708</v>
      </c>
      <c r="E30">
        <v>0.90849644428943577</v>
      </c>
      <c r="F30">
        <v>0.81500523114712542</v>
      </c>
      <c r="G30">
        <v>0.79580130481908595</v>
      </c>
      <c r="H30">
        <v>0.49999999194562927</v>
      </c>
      <c r="I30">
        <v>0.76762818390317078</v>
      </c>
      <c r="J30">
        <v>0.8151242800477897</v>
      </c>
      <c r="K30" s="3">
        <f t="shared" si="1"/>
        <v>9.4948560272234818E-4</v>
      </c>
      <c r="L30" s="3">
        <f t="shared" si="2"/>
        <v>1.5747599685328906E-2</v>
      </c>
      <c r="M30" s="3">
        <f t="shared" si="3"/>
        <v>1.7438027447623582E-2</v>
      </c>
      <c r="N30" s="3">
        <f t="shared" si="4"/>
        <v>1.487020936717944E-3</v>
      </c>
      <c r="O30" s="3">
        <f t="shared" si="5"/>
        <v>3.7473154884646882E-4</v>
      </c>
      <c r="P30" s="3">
        <f t="shared" si="6"/>
        <v>7.6420914017200012E-2</v>
      </c>
      <c r="Q30" s="3">
        <f t="shared" si="7"/>
        <v>7.7706636887211444E-5</v>
      </c>
      <c r="R30" s="3">
        <f t="shared" si="8"/>
        <v>1.4962166154492862E-3</v>
      </c>
    </row>
    <row r="31" spans="1:18">
      <c r="A31" s="1" t="s">
        <v>29</v>
      </c>
      <c r="B31">
        <v>0.5</v>
      </c>
      <c r="C31">
        <v>0.29221222261612867</v>
      </c>
      <c r="D31">
        <v>0.42960038256181582</v>
      </c>
      <c r="E31">
        <v>0.44261642575341265</v>
      </c>
      <c r="F31">
        <v>0.3423430057127681</v>
      </c>
      <c r="G31">
        <v>0.33607539645907331</v>
      </c>
      <c r="H31">
        <v>0.36520006730641602</v>
      </c>
      <c r="I31">
        <v>0.34937028866561598</v>
      </c>
      <c r="J31">
        <v>86.639417818075017</v>
      </c>
      <c r="K31" s="3">
        <f t="shared" si="1"/>
        <v>4.3175760430129273E-2</v>
      </c>
      <c r="L31" s="3">
        <f t="shared" si="2"/>
        <v>4.9561061354426866E-3</v>
      </c>
      <c r="M31" s="3">
        <f t="shared" si="3"/>
        <v>3.2928745933136034E-3</v>
      </c>
      <c r="N31" s="3">
        <f t="shared" si="4"/>
        <v>2.4855727847684271E-2</v>
      </c>
      <c r="O31" s="3">
        <f t="shared" si="5"/>
        <v>2.6871275646049998E-2</v>
      </c>
      <c r="P31" s="3">
        <f t="shared" si="6"/>
        <v>1.8171021854194769E-2</v>
      </c>
      <c r="Q31" s="3">
        <f t="shared" si="7"/>
        <v>2.2689309936679856E-2</v>
      </c>
      <c r="R31" s="3"/>
    </row>
    <row r="32" spans="1:18">
      <c r="A32" s="1" t="s">
        <v>30</v>
      </c>
      <c r="B32">
        <v>0.71854052062671303</v>
      </c>
      <c r="C32">
        <v>0.60390649307105082</v>
      </c>
      <c r="D32">
        <v>0.77828280480139678</v>
      </c>
      <c r="E32">
        <v>0.77711618686727513</v>
      </c>
      <c r="F32">
        <v>0.65550733682525064</v>
      </c>
      <c r="G32">
        <v>0.63948690990961354</v>
      </c>
      <c r="H32">
        <v>0.65288111520556458</v>
      </c>
      <c r="I32">
        <v>0.61170023469298296</v>
      </c>
      <c r="J32">
        <v>0.65580585792071733</v>
      </c>
      <c r="K32" s="3">
        <f t="shared" si="1"/>
        <v>1.3140960273632324E-2</v>
      </c>
      <c r="L32" s="3">
        <f t="shared" si="2"/>
        <v>3.5691405184086681E-3</v>
      </c>
      <c r="M32" s="3">
        <f t="shared" si="3"/>
        <v>3.4311086755257261E-3</v>
      </c>
      <c r="N32" s="3">
        <f t="shared" si="4"/>
        <v>3.9731822601489402E-3</v>
      </c>
      <c r="O32" s="3">
        <f t="shared" si="5"/>
        <v>6.2494733674107071E-3</v>
      </c>
      <c r="P32" s="3">
        <f t="shared" si="6"/>
        <v>4.3111575202587392E-3</v>
      </c>
      <c r="Q32" s="3">
        <f t="shared" si="7"/>
        <v>1.1414846698401201E-2</v>
      </c>
      <c r="R32" s="3">
        <f t="shared" si="8"/>
        <v>3.9356379048350477E-3</v>
      </c>
    </row>
    <row r="33" spans="1:18">
      <c r="A33" s="1" t="s">
        <v>31</v>
      </c>
      <c r="B33">
        <v>0.78479559032017232</v>
      </c>
      <c r="C33">
        <v>0.63557888671910867</v>
      </c>
      <c r="D33">
        <v>0.78523027601830653</v>
      </c>
      <c r="E33">
        <v>0.79284399244293569</v>
      </c>
      <c r="F33">
        <v>0.66128295555331984</v>
      </c>
      <c r="G33">
        <v>0.69433572163214297</v>
      </c>
      <c r="H33">
        <v>0.49999998743471952</v>
      </c>
      <c r="I33">
        <v>0.70751832844832541</v>
      </c>
      <c r="J33">
        <v>0.69661686085302799</v>
      </c>
      <c r="K33" s="3">
        <f t="shared" si="1"/>
        <v>2.2265624633567682E-2</v>
      </c>
      <c r="L33" s="3">
        <f t="shared" si="2"/>
        <v>1.8895165616242321E-7</v>
      </c>
      <c r="M33" s="3">
        <f t="shared" si="3"/>
        <v>6.4776776729701842E-5</v>
      </c>
      <c r="N33" s="3">
        <f t="shared" si="4"/>
        <v>1.5255370947049896E-2</v>
      </c>
      <c r="O33" s="3">
        <f t="shared" si="5"/>
        <v>8.1829878430555135E-3</v>
      </c>
      <c r="P33" s="3">
        <f t="shared" si="6"/>
        <v>8.1108535422888539E-2</v>
      </c>
      <c r="Q33" s="3">
        <f t="shared" si="7"/>
        <v>5.9717752024100049E-3</v>
      </c>
      <c r="R33" s="3">
        <f t="shared" si="8"/>
        <v>7.7754883304398288E-3</v>
      </c>
    </row>
    <row r="34" spans="1:18">
      <c r="A34" s="1" t="s">
        <v>32</v>
      </c>
      <c r="B34">
        <v>0.77011370087989073</v>
      </c>
      <c r="C34">
        <v>0.66879383369636358</v>
      </c>
      <c r="D34">
        <v>0.81852990701478701</v>
      </c>
      <c r="E34">
        <v>0.82797772414913717</v>
      </c>
      <c r="F34">
        <v>0.70200003186310911</v>
      </c>
      <c r="G34">
        <v>0.69224181829937903</v>
      </c>
      <c r="H34">
        <v>0.49999971339102539</v>
      </c>
      <c r="I34">
        <v>0.67736952670818262</v>
      </c>
      <c r="J34">
        <v>0.70301064125003021</v>
      </c>
      <c r="K34" s="3">
        <f t="shared" si="1"/>
        <v>1.0265715486087582E-2</v>
      </c>
      <c r="L34" s="3">
        <f t="shared" si="2"/>
        <v>2.3441290164967678E-3</v>
      </c>
      <c r="M34" s="3">
        <f t="shared" si="3"/>
        <v>3.348245188903894E-3</v>
      </c>
      <c r="N34" s="3">
        <f t="shared" si="4"/>
        <v>4.6394719069276762E-3</v>
      </c>
      <c r="O34" s="3">
        <f t="shared" si="5"/>
        <v>6.0640300966330008E-3</v>
      </c>
      <c r="P34" s="3">
        <f t="shared" si="6"/>
        <v>7.2961566237134901E-2</v>
      </c>
      <c r="Q34" s="3">
        <f t="shared" si="7"/>
        <v>8.6014818427921289E-3</v>
      </c>
      <c r="R34" s="3">
        <f t="shared" si="8"/>
        <v>4.5028206116886167E-3</v>
      </c>
    </row>
    <row r="35" spans="1:18">
      <c r="A35" s="1" t="s">
        <v>33</v>
      </c>
      <c r="B35">
        <v>0.74537124316813819</v>
      </c>
      <c r="C35">
        <v>0.62879068981992781</v>
      </c>
      <c r="D35">
        <v>0.85898886845070854</v>
      </c>
      <c r="E35">
        <v>0.78276310187958986</v>
      </c>
      <c r="F35">
        <v>0.64392560586904379</v>
      </c>
      <c r="G35">
        <v>0.64534285349907583</v>
      </c>
      <c r="H35">
        <v>0.65576241787537071</v>
      </c>
      <c r="I35">
        <v>0.65708536502493353</v>
      </c>
      <c r="J35">
        <v>0.70250295625470283</v>
      </c>
      <c r="K35" s="3">
        <f t="shared" si="1"/>
        <v>1.3591025418974927E-2</v>
      </c>
      <c r="L35" s="3">
        <f t="shared" si="2"/>
        <v>1.2908964774850571E-2</v>
      </c>
      <c r="M35" s="3">
        <f t="shared" si="3"/>
        <v>1.3981510978971646E-3</v>
      </c>
      <c r="N35" s="3">
        <f t="shared" si="4"/>
        <v>1.0291217327019412E-2</v>
      </c>
      <c r="O35" s="3">
        <f t="shared" si="5"/>
        <v>1.000567873978578E-2</v>
      </c>
      <c r="P35" s="3">
        <f t="shared" si="6"/>
        <v>8.029741570349724E-3</v>
      </c>
      <c r="Q35" s="3">
        <f t="shared" si="7"/>
        <v>7.7943962795167816E-3</v>
      </c>
      <c r="R35" s="3">
        <f t="shared" si="8"/>
        <v>1.8376900228926135E-3</v>
      </c>
    </row>
    <row r="36" spans="1:18">
      <c r="A36" s="1" t="s">
        <v>70</v>
      </c>
      <c r="B36">
        <v>0.5</v>
      </c>
      <c r="C36">
        <v>0.2790697674418598</v>
      </c>
      <c r="D36">
        <v>0.96358047740840636</v>
      </c>
      <c r="E36">
        <v>0.66122852284433198</v>
      </c>
      <c r="F36">
        <v>0.51900213188633237</v>
      </c>
      <c r="G36">
        <v>0.50887699088186167</v>
      </c>
      <c r="H36">
        <v>0.53200026461632954</v>
      </c>
      <c r="I36">
        <v>0.4787832496256314</v>
      </c>
      <c r="J36">
        <v>0.51900536058684965</v>
      </c>
      <c r="K36" s="3">
        <f t="shared" si="1"/>
        <v>4.8810167658193918E-2</v>
      </c>
      <c r="L36" s="3">
        <f t="shared" si="2"/>
        <v>0.21490685903420595</v>
      </c>
      <c r="M36" s="3">
        <f t="shared" si="3"/>
        <v>2.5994636578565277E-2</v>
      </c>
      <c r="N36" s="3">
        <f t="shared" si="4"/>
        <v>3.6108101622556957E-4</v>
      </c>
      <c r="O36" s="3">
        <f t="shared" si="5"/>
        <v>7.8800967116655197E-5</v>
      </c>
      <c r="P36" s="3">
        <f t="shared" si="6"/>
        <v>1.0240169355151126E-3</v>
      </c>
      <c r="Q36" s="3">
        <f t="shared" si="7"/>
        <v>4.5015049644827004E-4</v>
      </c>
      <c r="R36" s="3">
        <f t="shared" si="8"/>
        <v>3.6120373103617809E-4</v>
      </c>
    </row>
    <row r="37" spans="1:18">
      <c r="A37" s="1" t="s">
        <v>34</v>
      </c>
      <c r="B37">
        <v>0.64438690289760148</v>
      </c>
      <c r="C37">
        <v>0.39094249743493986</v>
      </c>
      <c r="D37">
        <v>0.6358933511475815</v>
      </c>
      <c r="E37">
        <v>0.54535464641640585</v>
      </c>
      <c r="F37">
        <v>0.42390837801995013</v>
      </c>
      <c r="G37">
        <v>0.44046771671844659</v>
      </c>
      <c r="H37">
        <v>0.46231502706982991</v>
      </c>
      <c r="I37">
        <v>0.46287004948720967</v>
      </c>
      <c r="J37">
        <v>18.477657149822733</v>
      </c>
      <c r="K37" s="3">
        <f t="shared" si="1"/>
        <v>6.4234066660322026E-2</v>
      </c>
      <c r="L37" s="3">
        <f t="shared" si="2"/>
        <v>7.2140421330267439E-5</v>
      </c>
      <c r="M37" s="3">
        <f t="shared" si="3"/>
        <v>9.8073878237573131E-3</v>
      </c>
      <c r="N37" s="3">
        <f t="shared" si="4"/>
        <v>4.8610779932225123E-2</v>
      </c>
      <c r="O37" s="3">
        <f t="shared" si="5"/>
        <v>4.1583034491968832E-2</v>
      </c>
      <c r="P37" s="3">
        <f t="shared" si="6"/>
        <v>3.3150167967443467E-2</v>
      </c>
      <c r="Q37" s="3">
        <f t="shared" si="7"/>
        <v>3.2948368072009668E-2</v>
      </c>
      <c r="R37" s="3"/>
    </row>
    <row r="38" spans="1:18">
      <c r="A38" s="1" t="s">
        <v>35</v>
      </c>
      <c r="B38">
        <v>0.46438738408784969</v>
      </c>
      <c r="C38">
        <v>0.21557168626572262</v>
      </c>
      <c r="D38">
        <v>0.6347465157768829</v>
      </c>
      <c r="E38">
        <v>0.44458840956922346</v>
      </c>
      <c r="F38">
        <v>0.29438738460596275</v>
      </c>
      <c r="G38">
        <v>0.31501133874639103</v>
      </c>
      <c r="H38">
        <v>0.34063782152206118</v>
      </c>
      <c r="I38">
        <v>0.36262241548817975</v>
      </c>
      <c r="J38">
        <v>1.9400104993331007</v>
      </c>
      <c r="K38" s="3">
        <f t="shared" si="1"/>
        <v>6.1909251482712049E-2</v>
      </c>
      <c r="L38" s="3">
        <f t="shared" si="2"/>
        <v>2.9022233749841361E-2</v>
      </c>
      <c r="M38" s="3">
        <f t="shared" si="3"/>
        <v>3.9199939198921043E-4</v>
      </c>
      <c r="N38" s="3">
        <f t="shared" si="4"/>
        <v>2.8899999823841557E-2</v>
      </c>
      <c r="O38" s="3">
        <f t="shared" si="5"/>
        <v>2.2313202921853511E-2</v>
      </c>
      <c r="P38" s="3">
        <f t="shared" si="6"/>
        <v>1.5313954235224005E-2</v>
      </c>
      <c r="Q38" s="3">
        <f t="shared" si="7"/>
        <v>1.0356108834091809E-2</v>
      </c>
      <c r="R38" s="3">
        <f t="shared" si="8"/>
        <v>2.1774635782460994</v>
      </c>
    </row>
    <row r="39" spans="1:18">
      <c r="A39" s="1" t="s">
        <v>36</v>
      </c>
      <c r="B39">
        <v>0.64143562063042625</v>
      </c>
      <c r="C39">
        <v>0.56496908188540174</v>
      </c>
      <c r="D39">
        <v>0.73902265194131811</v>
      </c>
      <c r="E39">
        <v>0.71101122371754721</v>
      </c>
      <c r="F39">
        <v>0.6013483223939724</v>
      </c>
      <c r="G39">
        <v>0.52645472824968931</v>
      </c>
      <c r="H39">
        <v>0.54849483883229067</v>
      </c>
      <c r="I39">
        <v>0.48655092282293061</v>
      </c>
      <c r="J39">
        <v>0.60263122635946342</v>
      </c>
      <c r="K39" s="3">
        <f t="shared" si="1"/>
        <v>5.8471315476443355E-3</v>
      </c>
      <c r="L39" s="3">
        <f t="shared" si="2"/>
        <v>9.5232286800729874E-3</v>
      </c>
      <c r="M39" s="3">
        <f t="shared" si="3"/>
        <v>4.8407645449365959E-3</v>
      </c>
      <c r="N39" s="3">
        <f t="shared" si="4"/>
        <v>1.6069914798983959E-3</v>
      </c>
      <c r="O39" s="3">
        <f t="shared" si="5"/>
        <v>1.322060561267061E-2</v>
      </c>
      <c r="P39" s="3">
        <f t="shared" si="6"/>
        <v>8.6379889212486512E-3</v>
      </c>
      <c r="Q39" s="3">
        <f t="shared" si="7"/>
        <v>2.3989269614919245E-2</v>
      </c>
      <c r="R39" s="3">
        <f t="shared" si="8"/>
        <v>1.5057810147363327E-3</v>
      </c>
    </row>
    <row r="40" spans="1:18">
      <c r="A40" s="1" t="s">
        <v>37</v>
      </c>
      <c r="B40">
        <v>0.67948818892575436</v>
      </c>
      <c r="C40">
        <v>0.5048969910506873</v>
      </c>
      <c r="D40">
        <v>0.73127136433959072</v>
      </c>
      <c r="E40">
        <v>0.68924292690894573</v>
      </c>
      <c r="F40">
        <v>0.58989352941198847</v>
      </c>
      <c r="G40">
        <v>0.50153812113621943</v>
      </c>
      <c r="H40">
        <v>0.5314990598696453</v>
      </c>
      <c r="I40">
        <v>0.40876109012590484</v>
      </c>
      <c r="J40">
        <v>0.5902037403809558</v>
      </c>
      <c r="K40" s="3">
        <f t="shared" si="1"/>
        <v>3.0482086375450818E-2</v>
      </c>
      <c r="L40" s="3">
        <f t="shared" si="2"/>
        <v>2.6814972559401472E-3</v>
      </c>
      <c r="M40" s="3">
        <f t="shared" si="3"/>
        <v>9.5154913120716535E-5</v>
      </c>
      <c r="N40" s="3">
        <f t="shared" si="4"/>
        <v>8.0272030133876401E-3</v>
      </c>
      <c r="O40" s="3">
        <f t="shared" si="5"/>
        <v>3.1666226626300073E-2</v>
      </c>
      <c r="P40" s="3">
        <f t="shared" si="6"/>
        <v>2.1900782318785703E-2</v>
      </c>
      <c r="Q40" s="3">
        <f t="shared" si="7"/>
        <v>7.3293162024583483E-2</v>
      </c>
      <c r="R40" s="3">
        <f t="shared" si="8"/>
        <v>7.9717127519487816E-3</v>
      </c>
    </row>
    <row r="41" spans="1:18">
      <c r="A41" s="1" t="s">
        <v>38</v>
      </c>
      <c r="B41">
        <v>0.80435281960741267</v>
      </c>
      <c r="C41">
        <v>0.70045804038492032</v>
      </c>
      <c r="D41">
        <v>0.7723783923175821</v>
      </c>
      <c r="E41">
        <v>0.79210657067382695</v>
      </c>
      <c r="F41">
        <v>0.66281930751026141</v>
      </c>
      <c r="G41">
        <v>0.70388025230100348</v>
      </c>
      <c r="H41">
        <v>0.49999991586562936</v>
      </c>
      <c r="I41">
        <v>0.73418501536248992</v>
      </c>
      <c r="J41">
        <v>11.944597178453089</v>
      </c>
      <c r="K41" s="3">
        <f t="shared" si="1"/>
        <v>1.0794125149690428E-2</v>
      </c>
      <c r="L41" s="3">
        <f t="shared" si="2"/>
        <v>1.0223640005126622E-3</v>
      </c>
      <c r="M41" s="3">
        <f t="shared" si="3"/>
        <v>1.4997061294334948E-4</v>
      </c>
      <c r="N41" s="3">
        <f t="shared" si="4"/>
        <v>2.0031735046554464E-2</v>
      </c>
      <c r="O41" s="3">
        <f t="shared" si="5"/>
        <v>1.0094736781140925E-2</v>
      </c>
      <c r="P41" s="3">
        <f t="shared" si="6"/>
        <v>9.2630690016055214E-2</v>
      </c>
      <c r="Q41" s="3">
        <f t="shared" si="7"/>
        <v>4.9235207525537986E-3</v>
      </c>
      <c r="R41" s="3"/>
    </row>
    <row r="42" spans="1:18">
      <c r="A42" s="1" t="s">
        <v>39</v>
      </c>
      <c r="B42">
        <v>0.46760767190765351</v>
      </c>
      <c r="C42">
        <v>0.19495748219180831</v>
      </c>
      <c r="D42">
        <v>0.7110798740621076</v>
      </c>
      <c r="E42">
        <v>0.389764996854634</v>
      </c>
      <c r="F42">
        <v>0.38295512755217592</v>
      </c>
      <c r="G42">
        <v>0.32001254676394431</v>
      </c>
      <c r="H42">
        <v>0.36379884048834638</v>
      </c>
      <c r="I42">
        <v>0.25390692708588497</v>
      </c>
      <c r="J42">
        <v>0.38298485709493663</v>
      </c>
      <c r="K42" s="3">
        <f t="shared" si="1"/>
        <v>7.4338125952086387E-2</v>
      </c>
      <c r="L42" s="3">
        <f t="shared" si="2"/>
        <v>5.9278713221939359E-2</v>
      </c>
      <c r="M42" s="3">
        <f t="shared" si="3"/>
        <v>6.0594820594099853E-3</v>
      </c>
      <c r="N42" s="3">
        <f t="shared" si="4"/>
        <v>7.1660532658561005E-3</v>
      </c>
      <c r="O42" s="3">
        <f t="shared" si="5"/>
        <v>2.1784320966187182E-2</v>
      </c>
      <c r="P42" s="3">
        <f t="shared" si="6"/>
        <v>1.0776273480642128E-2</v>
      </c>
      <c r="Q42" s="3">
        <f t="shared" si="7"/>
        <v>4.5668008337378635E-2</v>
      </c>
      <c r="R42" s="3">
        <f t="shared" si="8"/>
        <v>7.1610207868273764E-3</v>
      </c>
    </row>
    <row r="43" spans="1:18">
      <c r="A43" s="1" t="s">
        <v>40</v>
      </c>
      <c r="B43">
        <v>0.66666666666666663</v>
      </c>
      <c r="C43">
        <v>2.8518518538337201E-2</v>
      </c>
      <c r="D43">
        <v>0.31556909864966798</v>
      </c>
      <c r="E43">
        <v>0.22816779104605872</v>
      </c>
      <c r="F43">
        <v>0.22893431282233581</v>
      </c>
      <c r="G43">
        <v>0.17316599458895135</v>
      </c>
      <c r="H43">
        <v>0.22025567150808101</v>
      </c>
      <c r="I43">
        <v>0.13564818674363008</v>
      </c>
      <c r="J43">
        <v>0.23053828631209758</v>
      </c>
      <c r="K43" s="3">
        <f t="shared" si="1"/>
        <v>0.40723305895961626</v>
      </c>
      <c r="L43" s="3">
        <f t="shared" si="2"/>
        <v>0.12326950226745099</v>
      </c>
      <c r="M43" s="3">
        <f t="shared" si="3"/>
        <v>0.19228126392053738</v>
      </c>
      <c r="N43" s="3">
        <f t="shared" si="4"/>
        <v>0.19160961360209847</v>
      </c>
      <c r="O43" s="3">
        <f t="shared" si="5"/>
        <v>0.24354291334115669</v>
      </c>
      <c r="P43" s="3">
        <f t="shared" si="6"/>
        <v>0.19928277659847876</v>
      </c>
      <c r="Q43" s="3">
        <f t="shared" si="7"/>
        <v>0.28198062601977236</v>
      </c>
      <c r="R43" s="3">
        <f t="shared" si="8"/>
        <v>0.19020796415069963</v>
      </c>
    </row>
    <row r="44" spans="1:18">
      <c r="A44" s="1" t="s">
        <v>41</v>
      </c>
      <c r="B44">
        <v>0.62596535270562192</v>
      </c>
      <c r="C44">
        <v>0.52290346359356932</v>
      </c>
      <c r="D44">
        <v>0.78563789030510411</v>
      </c>
      <c r="E44">
        <v>0.66750979580852055</v>
      </c>
      <c r="F44">
        <v>0.50833410797370271</v>
      </c>
      <c r="G44">
        <v>0.56826060146322477</v>
      </c>
      <c r="H44">
        <v>0.57827275398169387</v>
      </c>
      <c r="I44">
        <v>0.62257441523582513</v>
      </c>
      <c r="J44">
        <v>1.118133475362669</v>
      </c>
      <c r="K44" s="3">
        <f t="shared" si="1"/>
        <v>1.0621752987345027E-2</v>
      </c>
      <c r="L44" s="3">
        <f t="shared" si="2"/>
        <v>2.5495319263458053E-2</v>
      </c>
      <c r="M44" s="3">
        <f t="shared" si="3"/>
        <v>1.7259407527299808E-3</v>
      </c>
      <c r="N44" s="3">
        <f t="shared" si="4"/>
        <v>1.3837109737180673E-2</v>
      </c>
      <c r="O44" s="3">
        <f t="shared" si="5"/>
        <v>3.329838315946936E-3</v>
      </c>
      <c r="P44" s="3">
        <f t="shared" si="6"/>
        <v>2.2745839730416244E-3</v>
      </c>
      <c r="Q44" s="3">
        <f t="shared" si="7"/>
        <v>1.1498456924071893E-5</v>
      </c>
      <c r="R44" s="3">
        <f t="shared" si="8"/>
        <v>0.24222946095976219</v>
      </c>
    </row>
    <row r="45" spans="1:18">
      <c r="A45" s="1" t="s">
        <v>42</v>
      </c>
      <c r="B45">
        <v>0.74199777434209535</v>
      </c>
      <c r="C45">
        <v>0.54364874407212294</v>
      </c>
      <c r="D45">
        <v>0.75762631915107037</v>
      </c>
      <c r="E45">
        <v>0.70042412282416633</v>
      </c>
      <c r="F45">
        <v>0.55058991059605933</v>
      </c>
      <c r="G45">
        <v>0.60285767405905288</v>
      </c>
      <c r="H45">
        <v>0.61367743080010928</v>
      </c>
      <c r="I45">
        <v>0.64317017010053956</v>
      </c>
      <c r="J45">
        <v>0.63902797123619082</v>
      </c>
      <c r="K45" s="3">
        <f t="shared" si="1"/>
        <v>3.9342337809038432E-2</v>
      </c>
      <c r="L45" s="3">
        <f t="shared" si="2"/>
        <v>2.4425141284614005E-4</v>
      </c>
      <c r="M45" s="3">
        <f t="shared" si="3"/>
        <v>1.7283685005342021E-3</v>
      </c>
      <c r="N45" s="3">
        <f t="shared" si="4"/>
        <v>3.6636970303821091E-2</v>
      </c>
      <c r="O45" s="3">
        <f t="shared" si="5"/>
        <v>1.9359967506775114E-2</v>
      </c>
      <c r="P45" s="3">
        <f t="shared" si="6"/>
        <v>1.6466110566733326E-2</v>
      </c>
      <c r="Q45" s="3">
        <f t="shared" si="7"/>
        <v>9.7668953601255763E-3</v>
      </c>
      <c r="R45" s="3">
        <f t="shared" si="8"/>
        <v>1.0602780351668747E-2</v>
      </c>
    </row>
    <row r="46" spans="1:18">
      <c r="A46" s="1" t="s">
        <v>43</v>
      </c>
      <c r="B46">
        <v>0.7082291253821309</v>
      </c>
      <c r="C46">
        <v>0.56019028284816685</v>
      </c>
      <c r="D46">
        <v>0.7262417834429572</v>
      </c>
      <c r="E46">
        <v>0.69307310960530322</v>
      </c>
      <c r="F46">
        <v>0.57559789915641157</v>
      </c>
      <c r="G46">
        <v>0.59128075460302809</v>
      </c>
      <c r="H46">
        <v>0.60475017754112759</v>
      </c>
      <c r="I46">
        <v>0.60262724776387</v>
      </c>
      <c r="J46">
        <v>0.59789183111383448</v>
      </c>
      <c r="K46" s="3">
        <f t="shared" si="1"/>
        <v>2.19154988987958E-2</v>
      </c>
      <c r="L46" s="3">
        <f t="shared" si="2"/>
        <v>3.2445585041625079E-4</v>
      </c>
      <c r="M46" s="3">
        <f t="shared" si="3"/>
        <v>2.2970481422744955E-4</v>
      </c>
      <c r="N46" s="3">
        <f t="shared" si="4"/>
        <v>1.7591042170137936E-2</v>
      </c>
      <c r="O46" s="3">
        <f t="shared" si="5"/>
        <v>1.3676921427886507E-2</v>
      </c>
      <c r="P46" s="3">
        <f t="shared" si="6"/>
        <v>1.0707892646281084E-2</v>
      </c>
      <c r="Q46" s="3">
        <f t="shared" si="7"/>
        <v>1.1151756556502152E-2</v>
      </c>
      <c r="R46" s="3">
        <f t="shared" si="8"/>
        <v>1.2174318506448636E-2</v>
      </c>
    </row>
    <row r="47" spans="1:18">
      <c r="A47" s="1" t="s">
        <v>44</v>
      </c>
      <c r="B47">
        <v>0.73478355690987329</v>
      </c>
      <c r="C47">
        <v>0.67164540409086693</v>
      </c>
      <c r="D47">
        <v>0.79653259340544325</v>
      </c>
      <c r="E47">
        <v>0.7732690199680391</v>
      </c>
      <c r="F47">
        <v>0.64735835780745543</v>
      </c>
      <c r="G47">
        <v>0.69177821642813331</v>
      </c>
      <c r="H47">
        <v>0.49999994586318963</v>
      </c>
      <c r="I47">
        <v>0.72784062979629016</v>
      </c>
      <c r="J47">
        <v>0.80296789029376325</v>
      </c>
      <c r="K47" s="3">
        <f t="shared" si="1"/>
        <v>3.9864263413962016E-3</v>
      </c>
      <c r="L47" s="3">
        <f t="shared" si="2"/>
        <v>3.8129435081312299E-3</v>
      </c>
      <c r="M47" s="3">
        <f t="shared" si="3"/>
        <v>1.4811308668014446E-3</v>
      </c>
      <c r="N47" s="3">
        <f t="shared" si="4"/>
        <v>7.6431654380974051E-3</v>
      </c>
      <c r="O47" s="3">
        <f t="shared" si="5"/>
        <v>1.8494593099503838E-3</v>
      </c>
      <c r="P47" s="3">
        <f t="shared" si="6"/>
        <v>5.5123344016120436E-2</v>
      </c>
      <c r="Q47" s="3">
        <f t="shared" si="7"/>
        <v>4.8204236904527782E-5</v>
      </c>
      <c r="R47" s="3">
        <f t="shared" si="8"/>
        <v>4.6491033190054513E-3</v>
      </c>
    </row>
    <row r="48" spans="1:18">
      <c r="A48" s="1" t="s">
        <v>45</v>
      </c>
      <c r="B48">
        <v>0.73296089388306074</v>
      </c>
      <c r="C48">
        <v>0.64008171429287575</v>
      </c>
      <c r="D48">
        <v>0.77866330298020581</v>
      </c>
      <c r="E48">
        <v>0.77541777736988282</v>
      </c>
      <c r="F48">
        <v>0.64327170176477999</v>
      </c>
      <c r="G48">
        <v>0.62591175967625656</v>
      </c>
      <c r="H48">
        <v>0.6383418492342513</v>
      </c>
      <c r="I48">
        <v>0.62382137999593834</v>
      </c>
      <c r="J48">
        <v>1.6690291480545E+65</v>
      </c>
      <c r="K48" s="3">
        <f t="shared" si="1"/>
        <v>8.6265420013458358E-3</v>
      </c>
      <c r="L48" s="3">
        <f t="shared" si="2"/>
        <v>2.0887101972828083E-3</v>
      </c>
      <c r="M48" s="3">
        <f t="shared" si="3"/>
        <v>1.8025869554135858E-3</v>
      </c>
      <c r="N48" s="3">
        <f t="shared" si="4"/>
        <v>8.0441511828298739E-3</v>
      </c>
      <c r="O48" s="3">
        <f t="shared" si="5"/>
        <v>1.1459517134426372E-2</v>
      </c>
      <c r="P48" s="3">
        <f t="shared" si="6"/>
        <v>8.9527636102533937E-3</v>
      </c>
      <c r="Q48" s="3">
        <f t="shared" si="7"/>
        <v>1.1911433491517383E-2</v>
      </c>
      <c r="R48" s="3"/>
    </row>
    <row r="49" spans="1:18">
      <c r="A49" s="1" t="s">
        <v>46</v>
      </c>
      <c r="B49">
        <v>0.85434672277157664</v>
      </c>
      <c r="C49">
        <v>0.7935743930310124</v>
      </c>
      <c r="D49">
        <v>0.8621428121465714</v>
      </c>
      <c r="E49">
        <v>0.87597500530598382</v>
      </c>
      <c r="F49">
        <v>0.76815424087280204</v>
      </c>
      <c r="G49">
        <v>0.80582853561418655</v>
      </c>
      <c r="H49">
        <v>0.49999994684409682</v>
      </c>
      <c r="I49">
        <v>0.82799055184567716</v>
      </c>
      <c r="J49">
        <v>0.81415673876631489</v>
      </c>
      <c r="K49" s="3">
        <f t="shared" si="1"/>
        <v>3.6932760620958681E-3</v>
      </c>
      <c r="L49" s="3">
        <f t="shared" si="2"/>
        <v>6.0779009542906242E-5</v>
      </c>
      <c r="M49" s="3">
        <f t="shared" si="3"/>
        <v>4.6778260538814286E-4</v>
      </c>
      <c r="N49" s="3">
        <f t="shared" si="4"/>
        <v>7.4291439358705868E-3</v>
      </c>
      <c r="O49" s="3">
        <f t="shared" si="5"/>
        <v>2.3540144850395326E-3</v>
      </c>
      <c r="P49" s="3">
        <f t="shared" si="6"/>
        <v>0.12556163761019959</v>
      </c>
      <c r="Q49" s="3">
        <f t="shared" si="7"/>
        <v>6.9464774587522904E-4</v>
      </c>
      <c r="R49" s="3">
        <f t="shared" si="8"/>
        <v>1.615234814343195E-3</v>
      </c>
    </row>
    <row r="50" spans="1:18">
      <c r="A50" s="1" t="s">
        <v>47</v>
      </c>
      <c r="B50">
        <v>0.60016671882653538</v>
      </c>
      <c r="C50">
        <v>0.46140504391542864</v>
      </c>
      <c r="D50">
        <v>0.65290878703090049</v>
      </c>
      <c r="E50">
        <v>0.62579696534371165</v>
      </c>
      <c r="F50">
        <v>0.53798037631562379</v>
      </c>
      <c r="G50">
        <v>0.52637905089283576</v>
      </c>
      <c r="H50">
        <v>0.54651011630329538</v>
      </c>
      <c r="I50">
        <v>0.51020807529990708</v>
      </c>
      <c r="J50">
        <v>0.53812157282578721</v>
      </c>
      <c r="K50" s="3">
        <f t="shared" si="1"/>
        <v>1.9254802424135672E-2</v>
      </c>
      <c r="L50" s="3">
        <f t="shared" si="2"/>
        <v>2.7817257584739014E-3</v>
      </c>
      <c r="M50" s="3">
        <f t="shared" si="3"/>
        <v>6.5690953653122625E-4</v>
      </c>
      <c r="N50" s="3">
        <f t="shared" si="4"/>
        <v>3.8671411948844108E-3</v>
      </c>
      <c r="O50" s="3">
        <f t="shared" si="5"/>
        <v>5.4446199390939228E-3</v>
      </c>
      <c r="P50" s="3">
        <f t="shared" si="6"/>
        <v>2.8790309943369655E-3</v>
      </c>
      <c r="Q50" s="3">
        <f t="shared" si="7"/>
        <v>8.0925575451509836E-3</v>
      </c>
      <c r="R50" s="3">
        <f t="shared" si="8"/>
        <v>3.8496001422541571E-3</v>
      </c>
    </row>
    <row r="51" spans="1:18">
      <c r="A51" s="1" t="s">
        <v>48</v>
      </c>
      <c r="B51">
        <v>0.33404616825244615</v>
      </c>
      <c r="C51">
        <v>6.8835548161744642E-2</v>
      </c>
      <c r="D51">
        <v>0.41605228543085288</v>
      </c>
      <c r="E51">
        <v>0.3058735638451901</v>
      </c>
      <c r="F51">
        <v>0.24778467470492854</v>
      </c>
      <c r="G51">
        <v>0.22540311963436471</v>
      </c>
      <c r="H51">
        <v>0.26721133576426587</v>
      </c>
      <c r="I51">
        <v>0.20531194199436933</v>
      </c>
      <c r="J51">
        <v>0.2480993847814997</v>
      </c>
      <c r="K51" s="3">
        <f t="shared" si="1"/>
        <v>7.0336673008894401E-2</v>
      </c>
      <c r="L51" s="3">
        <f t="shared" si="2"/>
        <v>6.7250032546785745E-3</v>
      </c>
      <c r="M51" s="3">
        <f t="shared" si="3"/>
        <v>7.9369563908774309E-4</v>
      </c>
      <c r="N51" s="3">
        <f t="shared" si="4"/>
        <v>7.4410452690484219E-3</v>
      </c>
      <c r="O51" s="3">
        <f t="shared" si="5"/>
        <v>1.1803312013030807E-2</v>
      </c>
      <c r="P51" s="3">
        <f t="shared" si="6"/>
        <v>4.4668948337231191E-3</v>
      </c>
      <c r="Q51" s="3">
        <f t="shared" si="7"/>
        <v>1.6572501010265715E-2</v>
      </c>
      <c r="R51" s="3">
        <f t="shared" si="8"/>
        <v>7.3868495890017536E-3</v>
      </c>
    </row>
    <row r="52" spans="1:18">
      <c r="A52" s="1" t="s">
        <v>49</v>
      </c>
      <c r="B52">
        <v>0.72544289929550709</v>
      </c>
      <c r="C52">
        <v>0.63410213581551567</v>
      </c>
      <c r="D52">
        <v>0.76333113362834171</v>
      </c>
      <c r="E52">
        <v>0.78359949468934109</v>
      </c>
      <c r="F52">
        <v>0.66049981275056324</v>
      </c>
      <c r="G52">
        <v>0.65577178251885992</v>
      </c>
      <c r="H52">
        <v>0.49999995830544408</v>
      </c>
      <c r="I52">
        <v>0.62027025681016557</v>
      </c>
      <c r="J52">
        <v>0.67747812824269582</v>
      </c>
      <c r="K52" s="3">
        <f t="shared" si="1"/>
        <v>8.3431350731077349E-3</v>
      </c>
      <c r="L52" s="3">
        <f t="shared" si="2"/>
        <v>1.4355183008597876E-3</v>
      </c>
      <c r="M52" s="3">
        <f t="shared" si="3"/>
        <v>3.3821895878021137E-3</v>
      </c>
      <c r="N52" s="3">
        <f t="shared" si="4"/>
        <v>4.217604489984067E-3</v>
      </c>
      <c r="O52" s="3">
        <f t="shared" si="5"/>
        <v>4.8540645129052061E-3</v>
      </c>
      <c r="P52" s="3">
        <f t="shared" si="6"/>
        <v>5.082451964224903E-2</v>
      </c>
      <c r="Q52" s="3">
        <f t="shared" si="7"/>
        <v>1.1061284727349466E-2</v>
      </c>
      <c r="R52" s="3">
        <f t="shared" si="8"/>
        <v>2.3006192621486021E-3</v>
      </c>
    </row>
    <row r="53" spans="1:18">
      <c r="A53" s="1" t="s">
        <v>50</v>
      </c>
      <c r="B53">
        <v>0.26229508197766449</v>
      </c>
      <c r="C53">
        <v>-7.3675339988477067E-3</v>
      </c>
      <c r="D53">
        <v>0.43129283739065966</v>
      </c>
      <c r="E53">
        <v>0.21357947038161729</v>
      </c>
      <c r="F53">
        <v>0.21951906887009426</v>
      </c>
      <c r="G53">
        <v>0.14290257110193627</v>
      </c>
      <c r="H53">
        <v>0.19659613214805421</v>
      </c>
      <c r="I53">
        <v>8.9463869856306444E-2</v>
      </c>
      <c r="J53">
        <v>0.21951689352739023</v>
      </c>
      <c r="K53" s="3">
        <f>(C53-$B53)^2</f>
        <v>7.2717926455295887E-2</v>
      </c>
      <c r="L53" s="3">
        <f t="shared" si="2"/>
        <v>2.8560241334630535E-2</v>
      </c>
      <c r="M53" s="3">
        <f t="shared" si="3"/>
        <v>2.3732108131769287E-3</v>
      </c>
      <c r="N53" s="3">
        <f t="shared" si="4"/>
        <v>1.8297872973790203E-3</v>
      </c>
      <c r="O53" s="3">
        <f t="shared" si="5"/>
        <v>1.4254571653210882E-2</v>
      </c>
      <c r="P53" s="3">
        <f t="shared" si="6"/>
        <v>4.3163520087136477E-3</v>
      </c>
      <c r="Q53" s="3">
        <f t="shared" si="7"/>
        <v>2.9870627883337861E-2</v>
      </c>
      <c r="R53" s="3">
        <f t="shared" si="8"/>
        <v>1.8299734070871779E-3</v>
      </c>
    </row>
    <row r="58" spans="1:18">
      <c r="J58" t="s">
        <v>54</v>
      </c>
      <c r="K58" s="3">
        <f>SUM(K2:K53)</f>
        <v>1.6746579286294727</v>
      </c>
      <c r="L58" s="3">
        <f t="shared" ref="L58:R58" si="9">SUM(L2:L53)</f>
        <v>1.4327278706336102</v>
      </c>
      <c r="M58" s="4">
        <f t="shared" si="9"/>
        <v>0.3712653919445737</v>
      </c>
      <c r="N58" s="3">
        <f t="shared" si="9"/>
        <v>0.80576832826729294</v>
      </c>
      <c r="O58" s="3">
        <f t="shared" si="9"/>
        <v>0.80333643466592619</v>
      </c>
      <c r="P58" s="3">
        <f t="shared" si="9"/>
        <v>1.7107482878969225</v>
      </c>
      <c r="Q58" s="3">
        <f t="shared" si="9"/>
        <v>1.025002163988245</v>
      </c>
      <c r="R58" s="3">
        <f t="shared" si="9"/>
        <v>10.553248026935909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06E25-0224-7D41-A484-FFF49F4F41C5}">
  <dimension ref="A1:BE96"/>
  <sheetViews>
    <sheetView topLeftCell="A61" workbookViewId="0">
      <selection activeCell="Q89" sqref="Q89:Q92"/>
    </sheetView>
  </sheetViews>
  <sheetFormatPr baseColWidth="10" defaultRowHeight="16"/>
  <cols>
    <col min="2" max="2" width="12.1640625" customWidth="1"/>
    <col min="8" max="8" width="14.6640625" customWidth="1"/>
    <col min="9" max="9" width="18.1640625" customWidth="1"/>
    <col min="14" max="14" width="15" customWidth="1"/>
    <col min="15" max="15" width="26.1640625" customWidth="1"/>
    <col min="16" max="16" width="16.83203125" bestFit="1" customWidth="1"/>
    <col min="18" max="18" width="11.83203125" customWidth="1"/>
    <col min="19" max="19" width="13.1640625" customWidth="1"/>
    <col min="23" max="23" width="17.83203125" customWidth="1"/>
    <col min="26" max="26" width="18.5" customWidth="1"/>
    <col min="27" max="27" width="13.6640625" customWidth="1"/>
    <col min="30" max="30" width="20.83203125" customWidth="1"/>
    <col min="31" max="31" width="13" customWidth="1"/>
    <col min="32" max="32" width="15.6640625" customWidth="1"/>
    <col min="37" max="37" width="19.5" customWidth="1"/>
    <col min="38" max="38" width="19.1640625" customWidth="1"/>
    <col min="44" max="44" width="20" customWidth="1"/>
    <col min="51" max="51" width="19.83203125" customWidth="1"/>
  </cols>
  <sheetData>
    <row r="1" spans="1:57">
      <c r="A1" t="s">
        <v>71</v>
      </c>
      <c r="B1" s="15" t="s">
        <v>72</v>
      </c>
      <c r="C1" t="s">
        <v>73</v>
      </c>
      <c r="D1" t="s">
        <v>74</v>
      </c>
      <c r="E1" t="s">
        <v>75</v>
      </c>
      <c r="F1" t="s">
        <v>76</v>
      </c>
      <c r="G1" t="s">
        <v>77</v>
      </c>
      <c r="H1" t="s">
        <v>78</v>
      </c>
      <c r="I1" s="15" t="s">
        <v>79</v>
      </c>
      <c r="J1" t="s">
        <v>80</v>
      </c>
      <c r="K1" t="s">
        <v>81</v>
      </c>
      <c r="L1" t="s">
        <v>82</v>
      </c>
      <c r="M1" t="s">
        <v>83</v>
      </c>
      <c r="N1" t="s">
        <v>84</v>
      </c>
      <c r="O1" t="s">
        <v>85</v>
      </c>
      <c r="P1" s="15" t="s">
        <v>86</v>
      </c>
      <c r="Q1" t="s">
        <v>87</v>
      </c>
      <c r="R1" t="s">
        <v>88</v>
      </c>
      <c r="S1" t="s">
        <v>89</v>
      </c>
      <c r="T1" t="s">
        <v>90</v>
      </c>
      <c r="U1" t="s">
        <v>91</v>
      </c>
      <c r="V1" t="s">
        <v>92</v>
      </c>
      <c r="W1" s="15" t="s">
        <v>93</v>
      </c>
      <c r="X1" t="s">
        <v>94</v>
      </c>
      <c r="Y1" t="s">
        <v>95</v>
      </c>
      <c r="Z1" t="s">
        <v>96</v>
      </c>
      <c r="AA1" t="s">
        <v>97</v>
      </c>
      <c r="AB1" t="s">
        <v>98</v>
      </c>
      <c r="AC1" t="s">
        <v>99</v>
      </c>
      <c r="AD1" s="15" t="s">
        <v>100</v>
      </c>
      <c r="AE1" t="s">
        <v>101</v>
      </c>
      <c r="AF1" t="s">
        <v>102</v>
      </c>
      <c r="AG1" t="s">
        <v>103</v>
      </c>
      <c r="AH1" t="s">
        <v>104</v>
      </c>
      <c r="AI1" t="s">
        <v>105</v>
      </c>
      <c r="AJ1" t="s">
        <v>106</v>
      </c>
      <c r="AK1" s="15" t="s">
        <v>107</v>
      </c>
      <c r="AL1" t="s">
        <v>108</v>
      </c>
      <c r="AM1" t="s">
        <v>109</v>
      </c>
      <c r="AN1" t="s">
        <v>110</v>
      </c>
      <c r="AO1" t="s">
        <v>111</v>
      </c>
      <c r="AP1" t="s">
        <v>112</v>
      </c>
      <c r="AQ1" t="s">
        <v>113</v>
      </c>
      <c r="AR1" s="15" t="s">
        <v>114</v>
      </c>
      <c r="AS1" t="s">
        <v>115</v>
      </c>
      <c r="AT1" t="s">
        <v>116</v>
      </c>
      <c r="AU1" t="s">
        <v>117</v>
      </c>
      <c r="AV1" t="s">
        <v>118</v>
      </c>
      <c r="AW1" t="s">
        <v>119</v>
      </c>
      <c r="AX1" t="s">
        <v>120</v>
      </c>
      <c r="AY1" s="15" t="s">
        <v>121</v>
      </c>
      <c r="AZ1" t="s">
        <v>122</v>
      </c>
      <c r="BA1" t="s">
        <v>123</v>
      </c>
      <c r="BB1" t="s">
        <v>124</v>
      </c>
      <c r="BC1" t="s">
        <v>125</v>
      </c>
      <c r="BD1" t="s">
        <v>126</v>
      </c>
      <c r="BE1" t="s">
        <v>127</v>
      </c>
    </row>
    <row r="2" spans="1:57">
      <c r="A2" t="s">
        <v>149</v>
      </c>
      <c r="B2" s="15">
        <v>9.2761942403519804</v>
      </c>
      <c r="C2">
        <v>0</v>
      </c>
      <c r="D2">
        <v>2.0895669885678498</v>
      </c>
      <c r="E2">
        <v>0</v>
      </c>
      <c r="F2">
        <v>1.32311721434371</v>
      </c>
      <c r="G2">
        <v>0</v>
      </c>
      <c r="H2">
        <v>1.2893166420584701</v>
      </c>
      <c r="I2" s="15">
        <v>4.5771718966879904</v>
      </c>
      <c r="J2">
        <v>0</v>
      </c>
      <c r="K2">
        <v>2.1382621453788802</v>
      </c>
      <c r="L2">
        <v>0</v>
      </c>
      <c r="M2">
        <v>1.7563105882599898E-2</v>
      </c>
      <c r="N2">
        <v>0</v>
      </c>
      <c r="O2">
        <v>0.120476885083578</v>
      </c>
      <c r="P2" s="15">
        <v>1.52918876552843</v>
      </c>
      <c r="Q2">
        <v>0</v>
      </c>
      <c r="R2">
        <v>0.43229304961403198</v>
      </c>
      <c r="S2">
        <v>0</v>
      </c>
      <c r="T2">
        <v>2.8919907675002102E-4</v>
      </c>
      <c r="U2">
        <v>0</v>
      </c>
      <c r="V2">
        <v>1.5385716946065499E-2</v>
      </c>
      <c r="W2" s="15">
        <v>2.9147803636133598</v>
      </c>
      <c r="X2">
        <v>0</v>
      </c>
      <c r="Y2">
        <v>0.69163701384488896</v>
      </c>
      <c r="Z2">
        <v>0</v>
      </c>
      <c r="AA2">
        <v>8.3710991460811297E-3</v>
      </c>
      <c r="AB2">
        <v>0</v>
      </c>
      <c r="AC2">
        <v>3.19867938081543E-2</v>
      </c>
      <c r="AD2" s="15">
        <v>13.491218004740199</v>
      </c>
      <c r="AE2">
        <v>0</v>
      </c>
      <c r="AF2">
        <v>2.6658890057298299</v>
      </c>
      <c r="AG2">
        <v>0</v>
      </c>
      <c r="AH2">
        <v>2.93957915377057E-2</v>
      </c>
      <c r="AI2">
        <v>0</v>
      </c>
      <c r="AJ2">
        <v>0.13207885541914899</v>
      </c>
      <c r="AK2" s="15">
        <v>7.9384628377842903</v>
      </c>
      <c r="AL2">
        <v>0</v>
      </c>
      <c r="AM2">
        <v>1.95851108588186</v>
      </c>
      <c r="AN2">
        <v>0</v>
      </c>
      <c r="AO2">
        <v>8.9686219042021797E-3</v>
      </c>
      <c r="AP2">
        <v>0</v>
      </c>
      <c r="AQ2">
        <v>7.6213792446353998E-2</v>
      </c>
      <c r="AR2" s="15">
        <v>33.369188104622701</v>
      </c>
      <c r="AS2">
        <v>0</v>
      </c>
      <c r="AT2">
        <v>14.544430652498701</v>
      </c>
      <c r="AU2">
        <v>0</v>
      </c>
      <c r="AV2">
        <v>1.8371957952973E-2</v>
      </c>
      <c r="AW2">
        <v>0</v>
      </c>
      <c r="AX2">
        <v>0.48795906735810002</v>
      </c>
      <c r="AY2" s="15">
        <v>1.1391438789520401</v>
      </c>
      <c r="AZ2">
        <v>0</v>
      </c>
      <c r="BA2">
        <v>0.26031487395497499</v>
      </c>
      <c r="BB2">
        <v>0</v>
      </c>
      <c r="BC2">
        <v>4.20891150692941E-3</v>
      </c>
      <c r="BD2">
        <v>0</v>
      </c>
      <c r="BE2">
        <v>1.3502746177680399E-2</v>
      </c>
    </row>
    <row r="3" spans="1:57">
      <c r="A3" t="s">
        <v>150</v>
      </c>
      <c r="B3" s="15">
        <v>40.375802039937803</v>
      </c>
      <c r="C3">
        <v>0</v>
      </c>
      <c r="D3">
        <v>2.5728545728852499</v>
      </c>
      <c r="E3">
        <v>0</v>
      </c>
      <c r="F3">
        <v>100.99584102308</v>
      </c>
      <c r="G3">
        <v>0</v>
      </c>
      <c r="H3">
        <v>97.055548160236398</v>
      </c>
      <c r="I3" s="15">
        <v>25.000573327043501</v>
      </c>
      <c r="J3">
        <v>0</v>
      </c>
      <c r="K3">
        <v>2.3531881205189502</v>
      </c>
      <c r="L3">
        <v>0</v>
      </c>
      <c r="M3">
        <v>2.57927597030576E-2</v>
      </c>
      <c r="N3">
        <v>0</v>
      </c>
      <c r="O3">
        <v>0.101308395886756</v>
      </c>
      <c r="P3" s="15">
        <v>36.544320369632601</v>
      </c>
      <c r="Q3">
        <v>0</v>
      </c>
      <c r="R3">
        <v>2.6656558790170601</v>
      </c>
      <c r="S3">
        <v>0</v>
      </c>
      <c r="T3">
        <v>3.8511080306307499E-3</v>
      </c>
      <c r="U3">
        <v>0</v>
      </c>
      <c r="V3">
        <v>9.1236832790543398E-2</v>
      </c>
      <c r="W3" s="15">
        <v>26.712102420304898</v>
      </c>
      <c r="X3">
        <v>0</v>
      </c>
      <c r="Y3">
        <v>1.7510536674648001</v>
      </c>
      <c r="Z3">
        <v>0</v>
      </c>
      <c r="AA3">
        <v>1.7607396991387098E-2</v>
      </c>
      <c r="AB3">
        <v>0</v>
      </c>
      <c r="AC3">
        <v>7.0984413271845306E-2</v>
      </c>
      <c r="AD3" s="15">
        <v>45.500502205178002</v>
      </c>
      <c r="AE3">
        <v>0</v>
      </c>
      <c r="AF3">
        <v>3.5939910751920001</v>
      </c>
      <c r="AG3">
        <v>0</v>
      </c>
      <c r="AH3">
        <v>2.2766980571966501E-2</v>
      </c>
      <c r="AI3">
        <v>0</v>
      </c>
      <c r="AJ3">
        <v>0.139112344129457</v>
      </c>
      <c r="AK3" s="15">
        <v>64.631605770139899</v>
      </c>
      <c r="AL3">
        <v>0</v>
      </c>
      <c r="AM3">
        <v>5.9992332832299899</v>
      </c>
      <c r="AN3">
        <v>0</v>
      </c>
      <c r="AO3">
        <v>2.1448665690291399E-2</v>
      </c>
      <c r="AP3">
        <v>0</v>
      </c>
      <c r="AQ3">
        <v>0.22201069149271699</v>
      </c>
      <c r="AR3" s="15">
        <v>148.16592578463201</v>
      </c>
      <c r="AS3">
        <v>0</v>
      </c>
      <c r="AT3">
        <v>31.793410544486498</v>
      </c>
      <c r="AU3">
        <v>0</v>
      </c>
      <c r="AV3">
        <v>3.5253115023106601E-2</v>
      </c>
      <c r="AW3">
        <v>0</v>
      </c>
      <c r="AX3">
        <v>1.1026805001298301</v>
      </c>
      <c r="AY3" s="15">
        <v>24.102016664426699</v>
      </c>
      <c r="AZ3">
        <v>0</v>
      </c>
      <c r="BA3">
        <v>1.58225572362602</v>
      </c>
      <c r="BB3">
        <v>0</v>
      </c>
      <c r="BC3">
        <v>1.32210368528882E-2</v>
      </c>
      <c r="BD3">
        <v>0</v>
      </c>
      <c r="BE3">
        <v>6.1800788844785001E-2</v>
      </c>
    </row>
    <row r="4" spans="1:57">
      <c r="A4" t="s">
        <v>129</v>
      </c>
      <c r="B4" s="15">
        <v>216.36422744764101</v>
      </c>
      <c r="C4">
        <v>0</v>
      </c>
      <c r="D4">
        <v>18.226052398126001</v>
      </c>
      <c r="E4">
        <v>0</v>
      </c>
      <c r="F4">
        <v>1.0554643200714999</v>
      </c>
      <c r="G4">
        <v>0</v>
      </c>
      <c r="H4">
        <v>2.39216638406866</v>
      </c>
      <c r="I4" s="15">
        <v>201.684218824525</v>
      </c>
      <c r="J4">
        <v>0</v>
      </c>
      <c r="K4">
        <v>15.486343100248201</v>
      </c>
      <c r="L4">
        <v>0</v>
      </c>
      <c r="M4">
        <v>0.35419661111365403</v>
      </c>
      <c r="N4">
        <v>0</v>
      </c>
      <c r="O4">
        <v>1.5214734073809699</v>
      </c>
      <c r="P4" s="15">
        <v>143.856613763963</v>
      </c>
      <c r="Q4">
        <v>0</v>
      </c>
      <c r="R4">
        <v>5.5448326480518997</v>
      </c>
      <c r="S4">
        <v>0</v>
      </c>
      <c r="T4">
        <v>0.118453225811791</v>
      </c>
      <c r="U4">
        <v>0</v>
      </c>
      <c r="V4">
        <v>0.53182423689108504</v>
      </c>
      <c r="W4" s="15">
        <v>201.06752124932899</v>
      </c>
      <c r="X4">
        <v>0</v>
      </c>
      <c r="Y4">
        <v>7.9745160432502296</v>
      </c>
      <c r="Z4">
        <v>0</v>
      </c>
      <c r="AA4">
        <v>0.31539893884936498</v>
      </c>
      <c r="AB4">
        <v>0</v>
      </c>
      <c r="AC4">
        <v>0.89565975591444402</v>
      </c>
      <c r="AD4" s="15">
        <v>218.681961559504</v>
      </c>
      <c r="AE4">
        <v>0</v>
      </c>
      <c r="AF4">
        <v>19.0938287638144</v>
      </c>
      <c r="AG4">
        <v>0</v>
      </c>
      <c r="AH4">
        <v>0.295908103693446</v>
      </c>
      <c r="AI4">
        <v>0</v>
      </c>
      <c r="AJ4">
        <v>1.7491956683104199</v>
      </c>
      <c r="AK4" s="15">
        <v>225.30758257548499</v>
      </c>
      <c r="AL4">
        <v>0</v>
      </c>
      <c r="AM4">
        <v>20.544488826945301</v>
      </c>
      <c r="AN4">
        <v>0</v>
      </c>
      <c r="AO4">
        <v>0.26323570328003898</v>
      </c>
      <c r="AP4">
        <v>0</v>
      </c>
      <c r="AQ4">
        <v>1.83902785413192</v>
      </c>
      <c r="AR4" s="15">
        <v>308.16611539873799</v>
      </c>
      <c r="AS4">
        <v>0</v>
      </c>
      <c r="AT4">
        <v>48.363412170755502</v>
      </c>
      <c r="AU4">
        <v>0</v>
      </c>
      <c r="AV4">
        <v>0.36558111323349701</v>
      </c>
      <c r="AW4">
        <v>0</v>
      </c>
      <c r="AX4">
        <v>4.0589533474012702</v>
      </c>
      <c r="AY4" s="15">
        <v>64.842144749774604</v>
      </c>
      <c r="AZ4">
        <v>0</v>
      </c>
      <c r="BA4">
        <v>2.1507119588354899</v>
      </c>
      <c r="BB4">
        <v>0</v>
      </c>
      <c r="BC4">
        <v>0.157233588226946</v>
      </c>
      <c r="BD4">
        <v>0</v>
      </c>
      <c r="BE4">
        <v>0.30884091937751601</v>
      </c>
    </row>
    <row r="5" spans="1:57">
      <c r="A5" t="s">
        <v>151</v>
      </c>
      <c r="B5" s="15">
        <v>1.3565753399949001</v>
      </c>
      <c r="C5">
        <v>0</v>
      </c>
      <c r="D5">
        <v>0.55418662790602302</v>
      </c>
      <c r="E5">
        <v>0</v>
      </c>
      <c r="F5">
        <v>4.8209044227547904E-3</v>
      </c>
      <c r="G5">
        <v>0</v>
      </c>
      <c r="H5">
        <v>1.9991326797756299E-2</v>
      </c>
      <c r="I5" s="15">
        <v>0.90131709879925903</v>
      </c>
      <c r="J5">
        <v>0</v>
      </c>
      <c r="K5">
        <v>0.50443589096326402</v>
      </c>
      <c r="L5">
        <v>0</v>
      </c>
      <c r="M5">
        <v>5.0735145737672701E-3</v>
      </c>
      <c r="N5">
        <v>0</v>
      </c>
      <c r="O5">
        <v>1.98753197217191E-2</v>
      </c>
      <c r="P5" s="15">
        <v>0.318402837478099</v>
      </c>
      <c r="Q5">
        <v>0</v>
      </c>
      <c r="R5">
        <v>0.147567693737329</v>
      </c>
      <c r="S5">
        <v>0</v>
      </c>
      <c r="T5" s="5">
        <v>8.2939733508824101E-5</v>
      </c>
      <c r="U5">
        <v>0</v>
      </c>
      <c r="V5">
        <v>4.1349214747315004E-3</v>
      </c>
      <c r="W5" s="15">
        <v>0.75565572291413996</v>
      </c>
      <c r="X5">
        <v>0</v>
      </c>
      <c r="Y5">
        <v>0.265799613335162</v>
      </c>
      <c r="Z5">
        <v>0</v>
      </c>
      <c r="AA5">
        <v>2.75618149154601E-3</v>
      </c>
      <c r="AB5">
        <v>0</v>
      </c>
      <c r="AC5">
        <v>1.00286155998473E-2</v>
      </c>
      <c r="AD5" s="15">
        <v>5.5422069758564101</v>
      </c>
      <c r="AE5">
        <v>0</v>
      </c>
      <c r="AF5">
        <v>1.28658378802911</v>
      </c>
      <c r="AG5">
        <v>0</v>
      </c>
      <c r="AH5">
        <v>1.0532230868539501E-2</v>
      </c>
      <c r="AI5">
        <v>0</v>
      </c>
      <c r="AJ5">
        <v>4.7496161908195299E-2</v>
      </c>
      <c r="AK5" s="15">
        <v>1.51380593805574</v>
      </c>
      <c r="AL5">
        <v>0</v>
      </c>
      <c r="AM5">
        <v>0.56866928226632296</v>
      </c>
      <c r="AN5">
        <v>0</v>
      </c>
      <c r="AO5">
        <v>3.0956925116890801E-3</v>
      </c>
      <c r="AP5">
        <v>0</v>
      </c>
      <c r="AQ5">
        <v>1.8740817203773501E-2</v>
      </c>
      <c r="AR5" s="15">
        <v>15.544051394708699</v>
      </c>
      <c r="AS5">
        <v>0</v>
      </c>
      <c r="AT5">
        <v>9.1597221984232604</v>
      </c>
      <c r="AU5">
        <v>0</v>
      </c>
      <c r="AV5">
        <v>5.9433895587891897E-3</v>
      </c>
      <c r="AW5">
        <v>0</v>
      </c>
      <c r="AX5">
        <v>0.24771114598883801</v>
      </c>
      <c r="AY5" s="15">
        <v>0.26383200056556999</v>
      </c>
      <c r="AZ5">
        <v>0</v>
      </c>
      <c r="BA5">
        <v>0.118150464296256</v>
      </c>
      <c r="BB5">
        <v>0</v>
      </c>
      <c r="BC5">
        <v>1.3597920365048799E-3</v>
      </c>
      <c r="BD5">
        <v>0</v>
      </c>
      <c r="BE5">
        <v>4.1758183902481996E-3</v>
      </c>
    </row>
    <row r="6" spans="1:57">
      <c r="A6" t="s">
        <v>128</v>
      </c>
      <c r="B6" s="15">
        <v>3.8964791171989899</v>
      </c>
      <c r="C6">
        <v>0</v>
      </c>
      <c r="D6">
        <v>0.42901109036642698</v>
      </c>
      <c r="E6">
        <v>0</v>
      </c>
      <c r="F6">
        <v>0.377388291354957</v>
      </c>
      <c r="G6">
        <v>0</v>
      </c>
      <c r="H6">
        <v>0.37661431051126498</v>
      </c>
      <c r="I6" s="15">
        <v>0.74263143479507798</v>
      </c>
      <c r="J6">
        <v>0</v>
      </c>
      <c r="K6">
        <v>0.38043260191837502</v>
      </c>
      <c r="L6">
        <v>0</v>
      </c>
      <c r="M6">
        <v>5.3043957047945404E-3</v>
      </c>
      <c r="N6">
        <v>0</v>
      </c>
      <c r="O6">
        <v>1.6141319629419299E-2</v>
      </c>
      <c r="P6" s="15">
        <v>0.96215168579112098</v>
      </c>
      <c r="Q6">
        <v>0</v>
      </c>
      <c r="R6">
        <v>0.229897515405597</v>
      </c>
      <c r="S6">
        <v>0</v>
      </c>
      <c r="T6">
        <v>1.4826678290562001E-4</v>
      </c>
      <c r="U6">
        <v>0</v>
      </c>
      <c r="V6">
        <v>6.0865463515103104E-3</v>
      </c>
      <c r="W6" s="15">
        <v>0.778061647289508</v>
      </c>
      <c r="X6">
        <v>0</v>
      </c>
      <c r="Y6">
        <v>0.21062687136049801</v>
      </c>
      <c r="Z6">
        <v>0</v>
      </c>
      <c r="AA6">
        <v>2.6022067725849601E-3</v>
      </c>
      <c r="AB6">
        <v>0</v>
      </c>
      <c r="AC6">
        <v>7.7689502775766597E-3</v>
      </c>
      <c r="AD6" s="15">
        <v>4.2687043403698901</v>
      </c>
      <c r="AE6">
        <v>0</v>
      </c>
      <c r="AF6">
        <v>1.2532021381337899</v>
      </c>
      <c r="AG6">
        <v>0</v>
      </c>
      <c r="AH6">
        <v>1.0970682226031399E-2</v>
      </c>
      <c r="AI6">
        <v>0</v>
      </c>
      <c r="AJ6">
        <v>4.2264689502441E-2</v>
      </c>
      <c r="AK6" s="15">
        <v>2.6752197380056399</v>
      </c>
      <c r="AL6">
        <v>0</v>
      </c>
      <c r="AM6">
        <v>0.80831023197299801</v>
      </c>
      <c r="AN6">
        <v>0</v>
      </c>
      <c r="AO6">
        <v>4.65834238399829E-3</v>
      </c>
      <c r="AP6">
        <v>0</v>
      </c>
      <c r="AQ6">
        <v>2.4602343043894401E-2</v>
      </c>
      <c r="AR6" s="15">
        <v>17.021232637365799</v>
      </c>
      <c r="AS6">
        <v>0</v>
      </c>
      <c r="AT6">
        <v>8.4805185231459408</v>
      </c>
      <c r="AU6">
        <v>0</v>
      </c>
      <c r="AV6">
        <v>5.7872524475681298E-3</v>
      </c>
      <c r="AW6">
        <v>0</v>
      </c>
      <c r="AX6">
        <v>0.22634751501544401</v>
      </c>
      <c r="AY6" s="15">
        <v>0.64112201755390097</v>
      </c>
      <c r="AZ6">
        <v>0</v>
      </c>
      <c r="BA6">
        <v>0.17459743344366599</v>
      </c>
      <c r="BB6">
        <v>0</v>
      </c>
      <c r="BC6">
        <v>1.5099731644880601E-3</v>
      </c>
      <c r="BD6">
        <v>0</v>
      </c>
      <c r="BE6">
        <v>5.7190729518588898E-3</v>
      </c>
    </row>
    <row r="7" spans="1:57">
      <c r="A7" t="s">
        <v>152</v>
      </c>
      <c r="B7" s="15">
        <v>0.69350129878125699</v>
      </c>
      <c r="C7">
        <v>0</v>
      </c>
      <c r="D7">
        <v>0.46239071372968099</v>
      </c>
      <c r="E7">
        <v>0</v>
      </c>
      <c r="F7">
        <v>6.6909025185653097E-4</v>
      </c>
      <c r="G7">
        <v>0</v>
      </c>
      <c r="H7">
        <v>1.2096358359801799E-2</v>
      </c>
      <c r="I7" s="15">
        <v>0.320703051244008</v>
      </c>
      <c r="J7">
        <v>0</v>
      </c>
      <c r="K7">
        <v>0.23620083753468701</v>
      </c>
      <c r="L7">
        <v>0</v>
      </c>
      <c r="M7">
        <v>9.25046771738475E-4</v>
      </c>
      <c r="N7">
        <v>0</v>
      </c>
      <c r="O7">
        <v>6.9621453377657601E-3</v>
      </c>
      <c r="P7" s="15">
        <v>0.22392743697189901</v>
      </c>
      <c r="Q7">
        <v>0</v>
      </c>
      <c r="R7">
        <v>0.133026345095658</v>
      </c>
      <c r="S7">
        <v>0</v>
      </c>
      <c r="T7" s="5">
        <v>3.4428695398009497E-5</v>
      </c>
      <c r="U7">
        <v>0</v>
      </c>
      <c r="V7">
        <v>3.2900642582974799E-3</v>
      </c>
      <c r="W7" s="15">
        <v>0.30577836111880502</v>
      </c>
      <c r="X7">
        <v>0</v>
      </c>
      <c r="Y7">
        <v>0.19550163297331899</v>
      </c>
      <c r="Z7">
        <v>0</v>
      </c>
      <c r="AA7">
        <v>6.5140507554410404E-4</v>
      </c>
      <c r="AB7">
        <v>0</v>
      </c>
      <c r="AC7">
        <v>5.3359446592993898E-3</v>
      </c>
      <c r="AD7" s="15">
        <v>1.6836962568009799</v>
      </c>
      <c r="AE7">
        <v>0</v>
      </c>
      <c r="AF7">
        <v>1.22909611905452</v>
      </c>
      <c r="AG7">
        <v>0</v>
      </c>
      <c r="AH7">
        <v>4.09582145562258E-3</v>
      </c>
      <c r="AI7">
        <v>0</v>
      </c>
      <c r="AJ7">
        <v>3.3551806229889E-2</v>
      </c>
      <c r="AK7" s="15">
        <v>1.52700894833367</v>
      </c>
      <c r="AL7">
        <v>0</v>
      </c>
      <c r="AM7">
        <v>1.01223969080693</v>
      </c>
      <c r="AN7">
        <v>0</v>
      </c>
      <c r="AO7">
        <v>5.01420561909908E-3</v>
      </c>
      <c r="AP7">
        <v>0</v>
      </c>
      <c r="AQ7">
        <v>2.9193992483458098E-2</v>
      </c>
      <c r="AR7" s="15">
        <v>3.07810499311829</v>
      </c>
      <c r="AS7">
        <v>0</v>
      </c>
      <c r="AT7">
        <v>2.4115131856333201</v>
      </c>
      <c r="AU7">
        <v>0</v>
      </c>
      <c r="AV7">
        <v>1.28177012869763E-3</v>
      </c>
      <c r="AW7">
        <v>0</v>
      </c>
      <c r="AX7">
        <v>5.9067721312583199E-2</v>
      </c>
      <c r="AY7" s="15">
        <v>0.17504519703329999</v>
      </c>
      <c r="AZ7">
        <v>0</v>
      </c>
      <c r="BA7">
        <v>0.10752789691095201</v>
      </c>
      <c r="BB7">
        <v>0</v>
      </c>
      <c r="BC7">
        <v>5.6507106167046702E-4</v>
      </c>
      <c r="BD7">
        <v>0</v>
      </c>
      <c r="BE7">
        <v>3.1097211687139302E-3</v>
      </c>
    </row>
    <row r="13" spans="1:57">
      <c r="B13" s="6" t="str">
        <f>A2</f>
        <v>grocery_and_pharmacy_percent_change_from_baseline</v>
      </c>
    </row>
    <row r="15" spans="1:57">
      <c r="B15" s="6" t="s">
        <v>130</v>
      </c>
      <c r="C15" s="6"/>
      <c r="D15" s="6" t="s">
        <v>131</v>
      </c>
      <c r="E15" s="6"/>
      <c r="F15" s="6" t="s">
        <v>132</v>
      </c>
      <c r="I15" s="6" t="s">
        <v>133</v>
      </c>
      <c r="J15" s="6" t="s">
        <v>134</v>
      </c>
      <c r="K15" s="6"/>
      <c r="L15" s="6"/>
      <c r="M15" s="6"/>
      <c r="N15" s="6"/>
    </row>
    <row r="16" spans="1:57">
      <c r="A16" s="6" t="s">
        <v>135</v>
      </c>
      <c r="B16" s="6" t="s">
        <v>136</v>
      </c>
      <c r="C16" s="6" t="s">
        <v>137</v>
      </c>
      <c r="D16" s="6" t="s">
        <v>136</v>
      </c>
      <c r="E16" s="6" t="s">
        <v>137</v>
      </c>
      <c r="F16" s="6" t="s">
        <v>136</v>
      </c>
      <c r="G16" s="6" t="s">
        <v>137</v>
      </c>
      <c r="H16" s="6" t="s">
        <v>138</v>
      </c>
      <c r="I16" s="6"/>
    </row>
    <row r="17" spans="1:18">
      <c r="A17" s="6" t="s">
        <v>139</v>
      </c>
      <c r="B17" s="3">
        <f>B2</f>
        <v>9.2761942403519804</v>
      </c>
      <c r="C17" s="3">
        <f t="shared" ref="C17:H17" si="0">C2</f>
        <v>0</v>
      </c>
      <c r="D17" s="3">
        <f t="shared" si="0"/>
        <v>2.0895669885678498</v>
      </c>
      <c r="E17" s="3">
        <f t="shared" si="0"/>
        <v>0</v>
      </c>
      <c r="F17" s="3">
        <f t="shared" si="0"/>
        <v>1.32311721434371</v>
      </c>
      <c r="G17" s="3">
        <f t="shared" si="0"/>
        <v>0</v>
      </c>
      <c r="H17" s="3">
        <f t="shared" si="0"/>
        <v>1.2893166420584701</v>
      </c>
      <c r="I17" s="6"/>
      <c r="J17" s="3"/>
      <c r="K17" s="3"/>
      <c r="L17" s="6" t="s">
        <v>140</v>
      </c>
      <c r="M17" s="3"/>
      <c r="N17" s="3"/>
      <c r="O17" s="3"/>
    </row>
    <row r="18" spans="1:18">
      <c r="A18" s="6" t="s">
        <v>141</v>
      </c>
      <c r="B18" s="3">
        <f>I2</f>
        <v>4.5771718966879904</v>
      </c>
      <c r="C18" s="3">
        <f t="shared" ref="C18:H18" si="1">J2</f>
        <v>0</v>
      </c>
      <c r="D18" s="3">
        <f t="shared" si="1"/>
        <v>2.1382621453788802</v>
      </c>
      <c r="E18" s="3">
        <f t="shared" si="1"/>
        <v>0</v>
      </c>
      <c r="F18" s="3">
        <f t="shared" si="1"/>
        <v>1.7563105882599898E-2</v>
      </c>
      <c r="G18" s="3">
        <f t="shared" si="1"/>
        <v>0</v>
      </c>
      <c r="H18" s="3">
        <f t="shared" si="1"/>
        <v>0.120476885083578</v>
      </c>
      <c r="I18" s="6"/>
      <c r="J18" s="3"/>
      <c r="K18" s="3"/>
      <c r="L18" s="3"/>
      <c r="M18" s="3"/>
      <c r="N18" s="3"/>
      <c r="O18" s="3"/>
    </row>
    <row r="19" spans="1:18">
      <c r="A19" s="7" t="s">
        <v>142</v>
      </c>
      <c r="B19" s="4">
        <f>P2</f>
        <v>1.52918876552843</v>
      </c>
      <c r="C19" s="4">
        <f t="shared" ref="C19:H19" si="2">Q2</f>
        <v>0</v>
      </c>
      <c r="D19" s="4">
        <f t="shared" si="2"/>
        <v>0.43229304961403198</v>
      </c>
      <c r="E19" s="4">
        <f t="shared" si="2"/>
        <v>0</v>
      </c>
      <c r="F19" s="4">
        <f t="shared" si="2"/>
        <v>2.8919907675002102E-4</v>
      </c>
      <c r="G19" s="4">
        <f t="shared" si="2"/>
        <v>0</v>
      </c>
      <c r="H19" s="4">
        <f t="shared" si="2"/>
        <v>1.5385716946065499E-2</v>
      </c>
      <c r="I19" s="6"/>
      <c r="J19" s="3"/>
      <c r="K19" s="3"/>
      <c r="L19" s="3"/>
      <c r="M19" s="3"/>
      <c r="N19" s="3" t="str">
        <f>B13</f>
        <v>grocery_and_pharmacy_percent_change_from_baseline</v>
      </c>
      <c r="O19" s="3"/>
    </row>
    <row r="20" spans="1:18">
      <c r="A20" s="8" t="s">
        <v>143</v>
      </c>
      <c r="B20" s="9">
        <f>W2</f>
        <v>2.9147803636133598</v>
      </c>
      <c r="C20" s="9">
        <f t="shared" ref="C20:H20" si="3">X2</f>
        <v>0</v>
      </c>
      <c r="D20" s="9">
        <f t="shared" si="3"/>
        <v>0.69163701384488896</v>
      </c>
      <c r="E20" s="9">
        <f t="shared" si="3"/>
        <v>0</v>
      </c>
      <c r="F20" s="9">
        <f t="shared" si="3"/>
        <v>8.3710991460811297E-3</v>
      </c>
      <c r="G20" s="9">
        <f t="shared" si="3"/>
        <v>0</v>
      </c>
      <c r="H20" s="9">
        <f t="shared" si="3"/>
        <v>3.19867938081543E-2</v>
      </c>
      <c r="I20" s="10">
        <f>100*(D20-D19)/D20</f>
        <v>37.497120460504902</v>
      </c>
      <c r="J20" s="10">
        <f>100*(F20-F19)/F20</f>
        <v>96.54526757235449</v>
      </c>
      <c r="K20" s="3"/>
      <c r="L20" s="3"/>
      <c r="M20" s="3"/>
      <c r="N20" s="3"/>
      <c r="O20" s="3"/>
    </row>
    <row r="21" spans="1:18">
      <c r="A21" s="6" t="s">
        <v>144</v>
      </c>
      <c r="B21" s="3">
        <f>AD2</f>
        <v>13.491218004740199</v>
      </c>
      <c r="C21" s="3">
        <f t="shared" ref="C21:H21" si="4">AE2</f>
        <v>0</v>
      </c>
      <c r="D21" s="3">
        <f t="shared" si="4"/>
        <v>2.6658890057298299</v>
      </c>
      <c r="E21" s="3">
        <f t="shared" si="4"/>
        <v>0</v>
      </c>
      <c r="F21" s="3">
        <f t="shared" si="4"/>
        <v>2.93957915377057E-2</v>
      </c>
      <c r="G21" s="3">
        <f t="shared" si="4"/>
        <v>0</v>
      </c>
      <c r="H21" s="3">
        <f t="shared" si="4"/>
        <v>0.13207885541914899</v>
      </c>
      <c r="K21" s="3"/>
      <c r="L21" s="3"/>
      <c r="M21" s="3"/>
      <c r="N21" s="3" t="s">
        <v>135</v>
      </c>
      <c r="O21" s="3" t="s">
        <v>131</v>
      </c>
      <c r="P21" t="s">
        <v>132</v>
      </c>
      <c r="Q21" s="3" t="s">
        <v>153</v>
      </c>
      <c r="R21" s="3"/>
    </row>
    <row r="22" spans="1:18">
      <c r="A22" s="8" t="s">
        <v>145</v>
      </c>
      <c r="B22" s="9">
        <f>AK2</f>
        <v>7.9384628377842903</v>
      </c>
      <c r="C22" s="9">
        <f t="shared" ref="C22:H22" si="5">AL2</f>
        <v>0</v>
      </c>
      <c r="D22" s="9">
        <f t="shared" si="5"/>
        <v>1.95851108588186</v>
      </c>
      <c r="E22" s="9">
        <f t="shared" si="5"/>
        <v>0</v>
      </c>
      <c r="F22" s="9">
        <f t="shared" si="5"/>
        <v>8.9686219042021797E-3</v>
      </c>
      <c r="G22" s="9">
        <f t="shared" si="5"/>
        <v>0</v>
      </c>
      <c r="H22" s="9">
        <f t="shared" si="5"/>
        <v>7.6213792446353998E-2</v>
      </c>
      <c r="I22" s="10">
        <f>100*(D22-D19)/D22</f>
        <v>77.927464759823749</v>
      </c>
      <c r="J22" s="10">
        <f>100*(F22-F19)/F22</f>
        <v>96.775434622631153</v>
      </c>
      <c r="K22" s="3"/>
      <c r="L22" s="3"/>
      <c r="M22" s="3"/>
      <c r="N22" s="3" t="s">
        <v>142</v>
      </c>
      <c r="O22" s="3">
        <f>D19</f>
        <v>0.43229304961403198</v>
      </c>
      <c r="P22" s="11">
        <f>F19</f>
        <v>2.8919907675002102E-4</v>
      </c>
      <c r="Q22" s="3">
        <f>H19</f>
        <v>1.5385716946065499E-2</v>
      </c>
    </row>
    <row r="23" spans="1:18">
      <c r="A23" s="6" t="s">
        <v>146</v>
      </c>
      <c r="B23" s="3">
        <f t="shared" ref="B23:H23" si="6">AR2</f>
        <v>33.369188104622701</v>
      </c>
      <c r="C23" s="3">
        <f t="shared" ref="C23" si="7">AS2</f>
        <v>0</v>
      </c>
      <c r="D23" s="3">
        <f t="shared" ref="D23" si="8">AT2</f>
        <v>14.544430652498701</v>
      </c>
      <c r="E23" s="3">
        <f t="shared" ref="E23" si="9">AU2</f>
        <v>0</v>
      </c>
      <c r="F23" s="3">
        <f t="shared" ref="F23" si="10">AV2</f>
        <v>1.8371957952973E-2</v>
      </c>
      <c r="G23" s="3">
        <f t="shared" ref="G23" si="11">AW2</f>
        <v>0</v>
      </c>
      <c r="H23" s="3">
        <f t="shared" ref="H23" si="12">AX2</f>
        <v>0.48795906735810002</v>
      </c>
      <c r="I23" s="6"/>
      <c r="J23" s="3"/>
      <c r="K23" s="3"/>
      <c r="L23" s="3"/>
      <c r="N23" s="3" t="s">
        <v>147</v>
      </c>
      <c r="O23" s="3">
        <f>D20</f>
        <v>0.69163701384488896</v>
      </c>
      <c r="P23" s="11">
        <f>F20</f>
        <v>8.3710991460811297E-3</v>
      </c>
      <c r="Q23" s="3">
        <f>H20</f>
        <v>3.19867938081543E-2</v>
      </c>
    </row>
    <row r="24" spans="1:18">
      <c r="A24" s="6" t="s">
        <v>148</v>
      </c>
      <c r="B24" s="3">
        <f t="shared" ref="B24:H24" si="13">AY2</f>
        <v>1.1391438789520401</v>
      </c>
      <c r="C24" s="3">
        <f t="shared" ref="C24" si="14">AZ2</f>
        <v>0</v>
      </c>
      <c r="D24" s="3">
        <f t="shared" ref="D24" si="15">BA2</f>
        <v>0.26031487395497499</v>
      </c>
      <c r="E24" s="3">
        <f t="shared" ref="E24" si="16">BB2</f>
        <v>0</v>
      </c>
      <c r="F24" s="3">
        <f t="shared" ref="F24" si="17">BC2</f>
        <v>4.20891150692941E-3</v>
      </c>
      <c r="G24" s="3">
        <f t="shared" ref="G24" si="18">BD2</f>
        <v>0</v>
      </c>
      <c r="H24" s="3">
        <f t="shared" ref="H24" si="19">BE2</f>
        <v>1.3502746177680399E-2</v>
      </c>
      <c r="I24" s="6"/>
      <c r="J24" s="3"/>
      <c r="K24" s="3"/>
      <c r="L24" s="3"/>
      <c r="M24" s="3"/>
      <c r="N24" t="s">
        <v>145</v>
      </c>
      <c r="O24" s="3">
        <f>D22</f>
        <v>1.95851108588186</v>
      </c>
      <c r="P24" s="11">
        <f>F22</f>
        <v>8.9686219042021797E-3</v>
      </c>
      <c r="Q24" s="3">
        <f>H22</f>
        <v>7.6213792446353998E-2</v>
      </c>
    </row>
    <row r="25" spans="1:18">
      <c r="N25" s="3" t="s">
        <v>144</v>
      </c>
      <c r="O25" s="3">
        <f>D21</f>
        <v>2.6658890057298299</v>
      </c>
      <c r="P25" s="11">
        <f>F21</f>
        <v>2.93957915377057E-2</v>
      </c>
      <c r="Q25" s="3">
        <f>H21</f>
        <v>0.13207885541914899</v>
      </c>
    </row>
    <row r="28" spans="1:18">
      <c r="B28" s="6" t="str">
        <f>A3</f>
        <v>parks_percent_change_from_baseline</v>
      </c>
    </row>
    <row r="29" spans="1:18">
      <c r="N29" s="3" t="str">
        <f>B28</f>
        <v>parks_percent_change_from_baseline</v>
      </c>
    </row>
    <row r="30" spans="1:18">
      <c r="B30" s="6" t="s">
        <v>130</v>
      </c>
      <c r="C30" s="6"/>
      <c r="D30" s="6" t="s">
        <v>131</v>
      </c>
      <c r="E30" s="6"/>
      <c r="F30" s="6" t="s">
        <v>132</v>
      </c>
      <c r="I30" s="6" t="s">
        <v>133</v>
      </c>
      <c r="J30" s="6" t="s">
        <v>134</v>
      </c>
    </row>
    <row r="31" spans="1:18">
      <c r="A31" s="6" t="s">
        <v>135</v>
      </c>
      <c r="B31" s="6" t="s">
        <v>136</v>
      </c>
      <c r="C31" s="6" t="s">
        <v>137</v>
      </c>
      <c r="D31" s="6" t="s">
        <v>136</v>
      </c>
      <c r="E31" s="6" t="s">
        <v>137</v>
      </c>
      <c r="F31" s="6" t="s">
        <v>136</v>
      </c>
      <c r="G31" s="6" t="s">
        <v>137</v>
      </c>
      <c r="H31" s="6" t="s">
        <v>138</v>
      </c>
      <c r="I31" s="6"/>
      <c r="N31" s="3" t="s">
        <v>135</v>
      </c>
      <c r="O31" s="3" t="s">
        <v>131</v>
      </c>
      <c r="P31" t="s">
        <v>132</v>
      </c>
      <c r="Q31" s="3" t="s">
        <v>153</v>
      </c>
    </row>
    <row r="32" spans="1:18">
      <c r="A32" s="6" t="s">
        <v>139</v>
      </c>
      <c r="B32" s="3">
        <f>B3</f>
        <v>40.375802039937803</v>
      </c>
      <c r="C32" s="3">
        <f t="shared" ref="C32:H32" si="20">C3</f>
        <v>0</v>
      </c>
      <c r="D32" s="3">
        <f t="shared" si="20"/>
        <v>2.5728545728852499</v>
      </c>
      <c r="E32" s="3">
        <f t="shared" si="20"/>
        <v>0</v>
      </c>
      <c r="F32" s="3">
        <f t="shared" si="20"/>
        <v>100.99584102308</v>
      </c>
      <c r="G32" s="3">
        <f t="shared" si="20"/>
        <v>0</v>
      </c>
      <c r="H32" s="3">
        <f t="shared" si="20"/>
        <v>97.055548160236398</v>
      </c>
      <c r="I32" s="6"/>
      <c r="J32" s="3"/>
      <c r="N32" s="3" t="s">
        <v>142</v>
      </c>
      <c r="O32" s="4">
        <f>D34</f>
        <v>2.6656558790170601</v>
      </c>
      <c r="P32" s="11">
        <f>F34</f>
        <v>3.8511080306307499E-3</v>
      </c>
      <c r="Q32" s="4">
        <f>H34</f>
        <v>9.1236832790543398E-2</v>
      </c>
    </row>
    <row r="33" spans="1:18">
      <c r="A33" s="6" t="s">
        <v>141</v>
      </c>
      <c r="B33" s="3">
        <f t="shared" ref="B33:H33" si="21">I3</f>
        <v>25.000573327043501</v>
      </c>
      <c r="C33" s="3">
        <f t="shared" ref="C33" si="22">J3</f>
        <v>0</v>
      </c>
      <c r="D33" s="3">
        <f t="shared" ref="D33" si="23">K3</f>
        <v>2.3531881205189502</v>
      </c>
      <c r="E33" s="3">
        <f t="shared" ref="E33" si="24">L3</f>
        <v>0</v>
      </c>
      <c r="F33" s="3">
        <f t="shared" ref="F33" si="25">M3</f>
        <v>2.57927597030576E-2</v>
      </c>
      <c r="G33" s="3">
        <f t="shared" ref="G33" si="26">N3</f>
        <v>0</v>
      </c>
      <c r="H33" s="3">
        <f t="shared" ref="H33" si="27">O3</f>
        <v>0.101308395886756</v>
      </c>
      <c r="I33" s="6"/>
      <c r="J33" s="3"/>
      <c r="N33" s="3" t="s">
        <v>143</v>
      </c>
      <c r="O33" s="4">
        <f>D35</f>
        <v>1.7510536674648001</v>
      </c>
      <c r="P33" s="11">
        <f>F35</f>
        <v>1.7607396991387098E-2</v>
      </c>
      <c r="Q33" s="4">
        <f>H35</f>
        <v>7.0984413271845306E-2</v>
      </c>
    </row>
    <row r="34" spans="1:18">
      <c r="A34" s="7" t="s">
        <v>142</v>
      </c>
      <c r="B34" s="4">
        <f t="shared" ref="B34:H34" si="28">P3</f>
        <v>36.544320369632601</v>
      </c>
      <c r="C34" s="4">
        <f t="shared" ref="C34" si="29">Q3</f>
        <v>0</v>
      </c>
      <c r="D34" s="4">
        <f t="shared" ref="D34" si="30">R3</f>
        <v>2.6656558790170601</v>
      </c>
      <c r="E34" s="4">
        <f t="shared" ref="E34" si="31">S3</f>
        <v>0</v>
      </c>
      <c r="F34" s="4">
        <f t="shared" ref="F34" si="32">T3</f>
        <v>3.8511080306307499E-3</v>
      </c>
      <c r="G34" s="4">
        <f t="shared" ref="G34" si="33">U3</f>
        <v>0</v>
      </c>
      <c r="H34" s="4">
        <f t="shared" ref="H34" si="34">V3</f>
        <v>9.1236832790543398E-2</v>
      </c>
      <c r="I34" s="6"/>
      <c r="J34" s="3"/>
      <c r="N34" s="3" t="s">
        <v>145</v>
      </c>
      <c r="O34" s="3">
        <f>D37</f>
        <v>5.9992332832299899</v>
      </c>
      <c r="P34" s="11">
        <f>F37</f>
        <v>2.1448665690291399E-2</v>
      </c>
      <c r="Q34" s="3">
        <f>H37</f>
        <v>0.22201069149271699</v>
      </c>
    </row>
    <row r="35" spans="1:18">
      <c r="A35" s="8" t="s">
        <v>143</v>
      </c>
      <c r="B35" s="9">
        <f t="shared" ref="B35:H35" si="35">W3</f>
        <v>26.712102420304898</v>
      </c>
      <c r="C35" s="9">
        <f t="shared" ref="C35" si="36">X3</f>
        <v>0</v>
      </c>
      <c r="D35" s="9">
        <f t="shared" ref="D35" si="37">Y3</f>
        <v>1.7510536674648001</v>
      </c>
      <c r="E35" s="9">
        <f t="shared" ref="E35" si="38">Z3</f>
        <v>0</v>
      </c>
      <c r="F35" s="9">
        <f t="shared" ref="F35" si="39">AA3</f>
        <v>1.7607396991387098E-2</v>
      </c>
      <c r="G35" s="9">
        <f t="shared" ref="G35" si="40">AB3</f>
        <v>0</v>
      </c>
      <c r="H35" s="9">
        <f t="shared" ref="H35" si="41">AC3</f>
        <v>7.0984413271845306E-2</v>
      </c>
      <c r="I35" s="10">
        <f>100*(D35-D34)/D35</f>
        <v>-52.231535134867336</v>
      </c>
      <c r="J35" s="10">
        <f>100*(F35-F34)/F35</f>
        <v>78.12789685769809</v>
      </c>
      <c r="N35" t="s">
        <v>144</v>
      </c>
      <c r="O35" s="3">
        <f>D36</f>
        <v>3.5939910751920001</v>
      </c>
      <c r="P35" s="11">
        <f>F36</f>
        <v>2.2766980571966501E-2</v>
      </c>
      <c r="Q35" s="3">
        <f>H36</f>
        <v>0.139112344129457</v>
      </c>
    </row>
    <row r="36" spans="1:18">
      <c r="A36" s="6" t="s">
        <v>144</v>
      </c>
      <c r="B36" s="3">
        <f t="shared" ref="B36:H36" si="42">AD3</f>
        <v>45.500502205178002</v>
      </c>
      <c r="C36" s="3">
        <f t="shared" ref="C36" si="43">AE3</f>
        <v>0</v>
      </c>
      <c r="D36" s="3">
        <f t="shared" ref="D36" si="44">AF3</f>
        <v>3.5939910751920001</v>
      </c>
      <c r="E36" s="3">
        <f t="shared" ref="E36" si="45">AG3</f>
        <v>0</v>
      </c>
      <c r="F36" s="3">
        <f t="shared" ref="F36" si="46">AH3</f>
        <v>2.2766980571966501E-2</v>
      </c>
      <c r="G36" s="3">
        <f t="shared" ref="G36" si="47">AI3</f>
        <v>0</v>
      </c>
      <c r="H36" s="3">
        <f t="shared" ref="H36" si="48">AJ3</f>
        <v>0.139112344129457</v>
      </c>
    </row>
    <row r="37" spans="1:18">
      <c r="A37" s="8" t="s">
        <v>145</v>
      </c>
      <c r="B37" s="9">
        <f t="shared" ref="B37:H37" si="49">AK3</f>
        <v>64.631605770139899</v>
      </c>
      <c r="C37" s="9">
        <f t="shared" ref="C37" si="50">AL3</f>
        <v>0</v>
      </c>
      <c r="D37" s="9">
        <f t="shared" ref="D37" si="51">AM3</f>
        <v>5.9992332832299899</v>
      </c>
      <c r="E37" s="9">
        <f t="shared" ref="E37" si="52">AN3</f>
        <v>0</v>
      </c>
      <c r="F37" s="9">
        <f t="shared" ref="F37" si="53">AO3</f>
        <v>2.1448665690291399E-2</v>
      </c>
      <c r="G37" s="9">
        <f t="shared" ref="G37" si="54">AP3</f>
        <v>0</v>
      </c>
      <c r="H37" s="9">
        <f t="shared" ref="H37" si="55">AQ3</f>
        <v>0.22201069149271699</v>
      </c>
      <c r="I37" s="10">
        <f>100*(D37-D34)/D37</f>
        <v>55.56672406008073</v>
      </c>
      <c r="J37" s="10">
        <f>100*(F37-F34)/F37</f>
        <v>82.044999506081496</v>
      </c>
    </row>
    <row r="38" spans="1:18">
      <c r="A38" s="6" t="s">
        <v>146</v>
      </c>
      <c r="B38" s="3">
        <f t="shared" ref="B38:H38" si="56">AR3</f>
        <v>148.16592578463201</v>
      </c>
      <c r="C38" s="3">
        <f t="shared" ref="C38" si="57">AS3</f>
        <v>0</v>
      </c>
      <c r="D38" s="3">
        <f t="shared" ref="D38" si="58">AT3</f>
        <v>31.793410544486498</v>
      </c>
      <c r="E38" s="3">
        <f t="shared" ref="E38" si="59">AU3</f>
        <v>0</v>
      </c>
      <c r="F38" s="3">
        <f t="shared" ref="F38" si="60">AV3</f>
        <v>3.5253115023106601E-2</v>
      </c>
      <c r="G38" s="3">
        <f t="shared" ref="G38" si="61">AW3</f>
        <v>0</v>
      </c>
      <c r="H38" s="3">
        <f t="shared" ref="H38" si="62">AX3</f>
        <v>1.1026805001298301</v>
      </c>
      <c r="I38" s="6"/>
      <c r="J38" s="3"/>
    </row>
    <row r="39" spans="1:18">
      <c r="A39" s="6" t="s">
        <v>148</v>
      </c>
      <c r="B39" s="3">
        <f t="shared" ref="B39:H39" si="63">AY3</f>
        <v>24.102016664426699</v>
      </c>
      <c r="C39" s="3">
        <f t="shared" ref="C39" si="64">AZ3</f>
        <v>0</v>
      </c>
      <c r="D39" s="3">
        <f t="shared" ref="D39" si="65">BA3</f>
        <v>1.58225572362602</v>
      </c>
      <c r="E39" s="3">
        <f t="shared" ref="E39" si="66">BB3</f>
        <v>0</v>
      </c>
      <c r="F39" s="3">
        <f t="shared" ref="F39" si="67">BC3</f>
        <v>1.32210368528882E-2</v>
      </c>
      <c r="G39" s="3">
        <f t="shared" ref="G39" si="68">BD3</f>
        <v>0</v>
      </c>
      <c r="H39" s="3">
        <f t="shared" ref="H39" si="69">BE3</f>
        <v>6.1800788844785001E-2</v>
      </c>
      <c r="I39" s="6"/>
      <c r="J39" s="3"/>
    </row>
    <row r="43" spans="1:18">
      <c r="B43" s="6" t="str">
        <f>A4</f>
        <v>residential_percent_change_from_baseline</v>
      </c>
    </row>
    <row r="44" spans="1:18">
      <c r="N44" s="3" t="str">
        <f>B43</f>
        <v>residential_percent_change_from_baseline</v>
      </c>
    </row>
    <row r="45" spans="1:18">
      <c r="B45" s="6" t="s">
        <v>130</v>
      </c>
      <c r="C45" s="6"/>
      <c r="D45" s="6" t="s">
        <v>131</v>
      </c>
      <c r="E45" s="6"/>
      <c r="F45" s="6" t="s">
        <v>132</v>
      </c>
      <c r="I45" s="6" t="s">
        <v>133</v>
      </c>
      <c r="J45" s="6" t="s">
        <v>134</v>
      </c>
    </row>
    <row r="46" spans="1:18">
      <c r="A46" s="6" t="s">
        <v>135</v>
      </c>
      <c r="B46" s="6" t="s">
        <v>136</v>
      </c>
      <c r="C46" s="6" t="s">
        <v>137</v>
      </c>
      <c r="D46" s="6" t="s">
        <v>136</v>
      </c>
      <c r="E46" s="6" t="s">
        <v>137</v>
      </c>
      <c r="F46" s="6" t="s">
        <v>136</v>
      </c>
      <c r="G46" s="6" t="s">
        <v>137</v>
      </c>
      <c r="H46" s="6" t="s">
        <v>138</v>
      </c>
      <c r="I46" s="6"/>
      <c r="N46" s="3" t="s">
        <v>135</v>
      </c>
      <c r="O46" s="3" t="s">
        <v>131</v>
      </c>
      <c r="P46" t="s">
        <v>132</v>
      </c>
      <c r="Q46" s="3" t="s">
        <v>153</v>
      </c>
      <c r="R46" s="3"/>
    </row>
    <row r="47" spans="1:18">
      <c r="A47" s="6" t="s">
        <v>139</v>
      </c>
      <c r="B47" s="3">
        <f>B4</f>
        <v>216.36422744764101</v>
      </c>
      <c r="C47" s="3">
        <f t="shared" ref="C47:H47" si="70">C4</f>
        <v>0</v>
      </c>
      <c r="D47" s="3">
        <f t="shared" si="70"/>
        <v>18.226052398126001</v>
      </c>
      <c r="E47" s="3">
        <f t="shared" si="70"/>
        <v>0</v>
      </c>
      <c r="F47" s="3">
        <f t="shared" si="70"/>
        <v>1.0554643200714999</v>
      </c>
      <c r="G47" s="3">
        <f t="shared" si="70"/>
        <v>0</v>
      </c>
      <c r="H47" s="3">
        <f t="shared" si="70"/>
        <v>2.39216638406866</v>
      </c>
      <c r="I47" s="6"/>
      <c r="J47" s="3"/>
      <c r="N47" s="3" t="s">
        <v>142</v>
      </c>
      <c r="O47" s="3">
        <f>D49</f>
        <v>5.5448326480518997</v>
      </c>
      <c r="P47" s="11">
        <f>F49</f>
        <v>0.118453225811791</v>
      </c>
      <c r="Q47" s="3">
        <f>H49</f>
        <v>0.53182423689108504</v>
      </c>
    </row>
    <row r="48" spans="1:18">
      <c r="A48" s="6" t="s">
        <v>141</v>
      </c>
      <c r="B48" s="3">
        <f>I4</f>
        <v>201.684218824525</v>
      </c>
      <c r="C48" s="3">
        <f t="shared" ref="C48:H48" si="71">J4</f>
        <v>0</v>
      </c>
      <c r="D48" s="3">
        <f t="shared" si="71"/>
        <v>15.486343100248201</v>
      </c>
      <c r="E48" s="3">
        <f t="shared" si="71"/>
        <v>0</v>
      </c>
      <c r="F48" s="3">
        <f t="shared" si="71"/>
        <v>0.35419661111365403</v>
      </c>
      <c r="G48" s="3">
        <f t="shared" si="71"/>
        <v>0</v>
      </c>
      <c r="H48" s="3">
        <f t="shared" si="71"/>
        <v>1.5214734073809699</v>
      </c>
      <c r="I48" s="6"/>
      <c r="J48" s="3"/>
      <c r="N48" s="3" t="s">
        <v>143</v>
      </c>
      <c r="O48" s="3">
        <f>D50</f>
        <v>7.9745160432502296</v>
      </c>
      <c r="P48" s="11">
        <f>F50</f>
        <v>0.31539893884936498</v>
      </c>
      <c r="Q48" s="3">
        <f>H50</f>
        <v>0.89565975591444402</v>
      </c>
    </row>
    <row r="49" spans="1:17">
      <c r="A49" s="7" t="s">
        <v>142</v>
      </c>
      <c r="B49" s="4">
        <f>P4</f>
        <v>143.856613763963</v>
      </c>
      <c r="C49" s="4">
        <f t="shared" ref="C49:H49" si="72">Q4</f>
        <v>0</v>
      </c>
      <c r="D49" s="4">
        <f t="shared" si="72"/>
        <v>5.5448326480518997</v>
      </c>
      <c r="E49" s="4">
        <f t="shared" si="72"/>
        <v>0</v>
      </c>
      <c r="F49" s="4">
        <f t="shared" si="72"/>
        <v>0.118453225811791</v>
      </c>
      <c r="G49" s="4">
        <f t="shared" si="72"/>
        <v>0</v>
      </c>
      <c r="H49" s="4">
        <f t="shared" si="72"/>
        <v>0.53182423689108504</v>
      </c>
      <c r="I49" s="6"/>
      <c r="J49" s="3"/>
      <c r="N49" s="3" t="s">
        <v>145</v>
      </c>
      <c r="O49" s="3">
        <f>D52</f>
        <v>20.544488826945301</v>
      </c>
      <c r="P49" s="11">
        <f>F52</f>
        <v>0.26323570328003898</v>
      </c>
      <c r="Q49" s="3">
        <f>H52</f>
        <v>1.83902785413192</v>
      </c>
    </row>
    <row r="50" spans="1:17">
      <c r="A50" s="8" t="s">
        <v>143</v>
      </c>
      <c r="B50" s="9">
        <f>W4</f>
        <v>201.06752124932899</v>
      </c>
      <c r="C50" s="9">
        <f t="shared" ref="C50:H50" si="73">X4</f>
        <v>0</v>
      </c>
      <c r="D50" s="9">
        <f t="shared" si="73"/>
        <v>7.9745160432502296</v>
      </c>
      <c r="E50" s="9">
        <f t="shared" si="73"/>
        <v>0</v>
      </c>
      <c r="F50" s="9">
        <f t="shared" si="73"/>
        <v>0.31539893884936498</v>
      </c>
      <c r="G50" s="9">
        <f t="shared" si="73"/>
        <v>0</v>
      </c>
      <c r="H50" s="9">
        <f t="shared" si="73"/>
        <v>0.89565975591444402</v>
      </c>
      <c r="I50" s="10">
        <f>100*(D50-D49)/D50</f>
        <v>30.468098402721964</v>
      </c>
      <c r="J50" s="10">
        <f>100*(F50-F49)/F50</f>
        <v>62.443365775442743</v>
      </c>
      <c r="N50" t="s">
        <v>144</v>
      </c>
      <c r="O50" s="3">
        <f>D51</f>
        <v>19.0938287638144</v>
      </c>
      <c r="P50" s="11">
        <f>F51</f>
        <v>0.295908103693446</v>
      </c>
      <c r="Q50" s="3">
        <f>H51</f>
        <v>1.7491956683104199</v>
      </c>
    </row>
    <row r="51" spans="1:17">
      <c r="A51" s="6" t="s">
        <v>144</v>
      </c>
      <c r="B51" s="3">
        <f>AD4</f>
        <v>218.681961559504</v>
      </c>
      <c r="C51" s="3">
        <f t="shared" ref="C51:H51" si="74">AE4</f>
        <v>0</v>
      </c>
      <c r="D51" s="3">
        <f t="shared" si="74"/>
        <v>19.0938287638144</v>
      </c>
      <c r="E51" s="3">
        <f t="shared" si="74"/>
        <v>0</v>
      </c>
      <c r="F51" s="3">
        <f t="shared" si="74"/>
        <v>0.295908103693446</v>
      </c>
      <c r="G51" s="3">
        <f t="shared" si="74"/>
        <v>0</v>
      </c>
      <c r="H51" s="3">
        <f t="shared" si="74"/>
        <v>1.7491956683104199</v>
      </c>
    </row>
    <row r="52" spans="1:17">
      <c r="A52" s="8" t="s">
        <v>145</v>
      </c>
      <c r="B52" s="9">
        <f>AK4</f>
        <v>225.30758257548499</v>
      </c>
      <c r="C52" s="9">
        <f t="shared" ref="C52:H52" si="75">AL4</f>
        <v>0</v>
      </c>
      <c r="D52" s="9">
        <f t="shared" si="75"/>
        <v>20.544488826945301</v>
      </c>
      <c r="E52" s="9">
        <f t="shared" si="75"/>
        <v>0</v>
      </c>
      <c r="F52" s="9">
        <f t="shared" si="75"/>
        <v>0.26323570328003898</v>
      </c>
      <c r="G52" s="9">
        <f t="shared" si="75"/>
        <v>0</v>
      </c>
      <c r="H52" s="9">
        <f t="shared" si="75"/>
        <v>1.83902785413192</v>
      </c>
      <c r="I52" s="10">
        <f>100*(D52-D49)/D52</f>
        <v>73.010607882443267</v>
      </c>
      <c r="J52" s="10">
        <f>100*(F52-F49)/F52</f>
        <v>55.001079133336063</v>
      </c>
    </row>
    <row r="53" spans="1:17">
      <c r="A53" s="6" t="s">
        <v>146</v>
      </c>
      <c r="B53" s="3">
        <f>AR4</f>
        <v>308.16611539873799</v>
      </c>
      <c r="C53" s="3">
        <f t="shared" ref="C53:H53" si="76">AS4</f>
        <v>0</v>
      </c>
      <c r="D53" s="3">
        <f t="shared" si="76"/>
        <v>48.363412170755502</v>
      </c>
      <c r="E53" s="3">
        <f t="shared" si="76"/>
        <v>0</v>
      </c>
      <c r="F53" s="3">
        <f t="shared" si="76"/>
        <v>0.36558111323349701</v>
      </c>
      <c r="G53" s="3">
        <f t="shared" si="76"/>
        <v>0</v>
      </c>
      <c r="H53" s="3">
        <f t="shared" si="76"/>
        <v>4.0589533474012702</v>
      </c>
      <c r="I53" s="6"/>
      <c r="J53" s="3"/>
    </row>
    <row r="54" spans="1:17">
      <c r="A54" s="6" t="s">
        <v>148</v>
      </c>
      <c r="B54" s="3">
        <f>AY4</f>
        <v>64.842144749774604</v>
      </c>
      <c r="C54" s="3">
        <f t="shared" ref="C54:H54" si="77">AZ4</f>
        <v>0</v>
      </c>
      <c r="D54" s="3">
        <f t="shared" si="77"/>
        <v>2.1507119588354899</v>
      </c>
      <c r="E54" s="3">
        <f t="shared" si="77"/>
        <v>0</v>
      </c>
      <c r="F54" s="3">
        <f t="shared" si="77"/>
        <v>0.157233588226946</v>
      </c>
      <c r="G54" s="3">
        <f t="shared" si="77"/>
        <v>0</v>
      </c>
      <c r="H54" s="3">
        <f t="shared" si="77"/>
        <v>0.30884091937751601</v>
      </c>
      <c r="I54" s="6"/>
      <c r="J54" s="3"/>
    </row>
    <row r="57" spans="1:17">
      <c r="B57" s="6" t="str">
        <f>A5</f>
        <v>retail_and_recreation_percent_change_from_baseline</v>
      </c>
    </row>
    <row r="58" spans="1:17">
      <c r="N58" s="3" t="str">
        <f>B57</f>
        <v>retail_and_recreation_percent_change_from_baseline</v>
      </c>
    </row>
    <row r="59" spans="1:17">
      <c r="B59" s="6" t="s">
        <v>130</v>
      </c>
      <c r="C59" s="6"/>
      <c r="D59" s="6" t="s">
        <v>131</v>
      </c>
      <c r="E59" s="6"/>
      <c r="F59" s="6" t="s">
        <v>132</v>
      </c>
      <c r="I59" s="6" t="s">
        <v>133</v>
      </c>
      <c r="J59" s="6" t="s">
        <v>134</v>
      </c>
    </row>
    <row r="60" spans="1:17">
      <c r="A60" s="6" t="s">
        <v>135</v>
      </c>
      <c r="B60" s="6" t="s">
        <v>136</v>
      </c>
      <c r="C60" s="6" t="s">
        <v>137</v>
      </c>
      <c r="D60" s="6" t="s">
        <v>136</v>
      </c>
      <c r="E60" s="6" t="s">
        <v>137</v>
      </c>
      <c r="F60" s="6" t="s">
        <v>136</v>
      </c>
      <c r="G60" s="6" t="s">
        <v>137</v>
      </c>
      <c r="H60" s="6" t="s">
        <v>138</v>
      </c>
      <c r="I60" s="6"/>
      <c r="N60" s="3" t="s">
        <v>135</v>
      </c>
      <c r="O60" s="3" t="s">
        <v>131</v>
      </c>
      <c r="P60" t="s">
        <v>132</v>
      </c>
      <c r="Q60" s="3" t="s">
        <v>153</v>
      </c>
    </row>
    <row r="61" spans="1:17">
      <c r="A61" s="6" t="s">
        <v>139</v>
      </c>
      <c r="B61" s="3">
        <f>B5</f>
        <v>1.3565753399949001</v>
      </c>
      <c r="C61" s="3">
        <f t="shared" ref="C61:H61" si="78">C5</f>
        <v>0</v>
      </c>
      <c r="D61" s="3">
        <f t="shared" si="78"/>
        <v>0.55418662790602302</v>
      </c>
      <c r="E61" s="3">
        <f t="shared" si="78"/>
        <v>0</v>
      </c>
      <c r="F61" s="3">
        <f t="shared" si="78"/>
        <v>4.8209044227547904E-3</v>
      </c>
      <c r="G61" s="3">
        <f t="shared" si="78"/>
        <v>0</v>
      </c>
      <c r="H61" s="3">
        <f t="shared" si="78"/>
        <v>1.9991326797756299E-2</v>
      </c>
      <c r="I61" s="6"/>
      <c r="J61" s="3"/>
      <c r="N61" s="3" t="s">
        <v>142</v>
      </c>
      <c r="O61" s="3">
        <f>D63</f>
        <v>0.147567693737329</v>
      </c>
      <c r="P61" s="11">
        <f>F63</f>
        <v>8.2939733508824101E-5</v>
      </c>
      <c r="Q61" s="3">
        <f>H63</f>
        <v>4.1349214747315004E-3</v>
      </c>
    </row>
    <row r="62" spans="1:17">
      <c r="A62" s="6" t="s">
        <v>141</v>
      </c>
      <c r="B62" s="3">
        <f>I5</f>
        <v>0.90131709879925903</v>
      </c>
      <c r="C62" s="3">
        <f t="shared" ref="C62:H62" si="79">J5</f>
        <v>0</v>
      </c>
      <c r="D62" s="3">
        <f t="shared" si="79"/>
        <v>0.50443589096326402</v>
      </c>
      <c r="E62" s="3">
        <f t="shared" si="79"/>
        <v>0</v>
      </c>
      <c r="F62" s="3">
        <f t="shared" si="79"/>
        <v>5.0735145737672701E-3</v>
      </c>
      <c r="G62" s="3">
        <f t="shared" si="79"/>
        <v>0</v>
      </c>
      <c r="H62" s="3">
        <f t="shared" si="79"/>
        <v>1.98753197217191E-2</v>
      </c>
      <c r="I62" s="6"/>
      <c r="J62" s="3"/>
      <c r="N62" s="3" t="s">
        <v>143</v>
      </c>
      <c r="O62" s="3">
        <f>D64</f>
        <v>0.265799613335162</v>
      </c>
      <c r="P62" s="11">
        <f>F64</f>
        <v>2.75618149154601E-3</v>
      </c>
      <c r="Q62" s="3">
        <f>H64</f>
        <v>1.00286155998473E-2</v>
      </c>
    </row>
    <row r="63" spans="1:17">
      <c r="A63" s="7" t="s">
        <v>142</v>
      </c>
      <c r="B63" s="4">
        <f>P5</f>
        <v>0.318402837478099</v>
      </c>
      <c r="C63" s="4">
        <f t="shared" ref="C63:H63" si="80">Q5</f>
        <v>0</v>
      </c>
      <c r="D63" s="4">
        <f t="shared" si="80"/>
        <v>0.147567693737329</v>
      </c>
      <c r="E63" s="4">
        <f t="shared" si="80"/>
        <v>0</v>
      </c>
      <c r="F63" s="4">
        <f t="shared" si="80"/>
        <v>8.2939733508824101E-5</v>
      </c>
      <c r="G63" s="4">
        <f t="shared" si="80"/>
        <v>0</v>
      </c>
      <c r="H63" s="4">
        <f t="shared" si="80"/>
        <v>4.1349214747315004E-3</v>
      </c>
      <c r="I63" s="6"/>
      <c r="J63" s="3"/>
      <c r="N63" s="3" t="s">
        <v>145</v>
      </c>
      <c r="O63" s="3">
        <f>D66</f>
        <v>0.56866928226632296</v>
      </c>
      <c r="P63" s="11">
        <f>F66</f>
        <v>3.0956925116890801E-3</v>
      </c>
      <c r="Q63" s="3">
        <f>H66</f>
        <v>1.8740817203773501E-2</v>
      </c>
    </row>
    <row r="64" spans="1:17">
      <c r="A64" s="8" t="s">
        <v>143</v>
      </c>
      <c r="B64" s="9">
        <f>W5</f>
        <v>0.75565572291413996</v>
      </c>
      <c r="C64" s="9">
        <f t="shared" ref="C64:H64" si="81">X5</f>
        <v>0</v>
      </c>
      <c r="D64" s="9">
        <f t="shared" si="81"/>
        <v>0.265799613335162</v>
      </c>
      <c r="E64" s="9">
        <f t="shared" si="81"/>
        <v>0</v>
      </c>
      <c r="F64" s="9">
        <f t="shared" si="81"/>
        <v>2.75618149154601E-3</v>
      </c>
      <c r="G64" s="9">
        <f t="shared" si="81"/>
        <v>0</v>
      </c>
      <c r="H64" s="9">
        <f t="shared" si="81"/>
        <v>1.00286155998473E-2</v>
      </c>
      <c r="I64" s="10">
        <f>100*(D64-D63)/D64</f>
        <v>44.481599545725288</v>
      </c>
      <c r="J64" s="10">
        <f>100*(F64-F63)/F64</f>
        <v>96.990773874535336</v>
      </c>
      <c r="N64" t="s">
        <v>144</v>
      </c>
      <c r="O64" s="3">
        <f>D65</f>
        <v>1.28658378802911</v>
      </c>
      <c r="P64" s="11">
        <f>F65</f>
        <v>1.0532230868539501E-2</v>
      </c>
      <c r="Q64" s="3">
        <f>H65</f>
        <v>4.7496161908195299E-2</v>
      </c>
    </row>
    <row r="65" spans="1:17">
      <c r="A65" s="6" t="s">
        <v>144</v>
      </c>
      <c r="B65" s="3">
        <f>AD5</f>
        <v>5.5422069758564101</v>
      </c>
      <c r="C65" s="3">
        <f t="shared" ref="C65:H65" si="82">AE5</f>
        <v>0</v>
      </c>
      <c r="D65" s="3">
        <f t="shared" si="82"/>
        <v>1.28658378802911</v>
      </c>
      <c r="E65" s="3">
        <f t="shared" si="82"/>
        <v>0</v>
      </c>
      <c r="F65" s="3">
        <f t="shared" si="82"/>
        <v>1.0532230868539501E-2</v>
      </c>
      <c r="G65" s="3">
        <f t="shared" si="82"/>
        <v>0</v>
      </c>
      <c r="H65" s="3">
        <f t="shared" si="82"/>
        <v>4.7496161908195299E-2</v>
      </c>
    </row>
    <row r="66" spans="1:17">
      <c r="A66" s="8" t="s">
        <v>145</v>
      </c>
      <c r="B66" s="9">
        <f>AK5</f>
        <v>1.51380593805574</v>
      </c>
      <c r="C66" s="9">
        <f t="shared" ref="C66:H66" si="83">AL5</f>
        <v>0</v>
      </c>
      <c r="D66" s="9">
        <f t="shared" si="83"/>
        <v>0.56866928226632296</v>
      </c>
      <c r="E66" s="9">
        <f t="shared" si="83"/>
        <v>0</v>
      </c>
      <c r="F66" s="9">
        <f t="shared" si="83"/>
        <v>3.0956925116890801E-3</v>
      </c>
      <c r="G66" s="9">
        <f t="shared" si="83"/>
        <v>0</v>
      </c>
      <c r="H66" s="9">
        <f t="shared" si="83"/>
        <v>1.8740817203773501E-2</v>
      </c>
      <c r="I66" s="10">
        <f>100*(D66-D63)/D66</f>
        <v>74.050349062424104</v>
      </c>
      <c r="J66" s="10">
        <f>100*(F66-F63)/F66</f>
        <v>97.320801946716273</v>
      </c>
    </row>
    <row r="67" spans="1:17">
      <c r="A67" s="6" t="s">
        <v>146</v>
      </c>
      <c r="B67" s="3">
        <f>AR5</f>
        <v>15.544051394708699</v>
      </c>
      <c r="C67" s="3">
        <f t="shared" ref="C67:H67" si="84">AS5</f>
        <v>0</v>
      </c>
      <c r="D67" s="3">
        <f t="shared" si="84"/>
        <v>9.1597221984232604</v>
      </c>
      <c r="E67" s="3">
        <f t="shared" si="84"/>
        <v>0</v>
      </c>
      <c r="F67" s="3">
        <f t="shared" si="84"/>
        <v>5.9433895587891897E-3</v>
      </c>
      <c r="G67" s="3">
        <f t="shared" si="84"/>
        <v>0</v>
      </c>
      <c r="H67" s="3">
        <f t="shared" si="84"/>
        <v>0.24771114598883801</v>
      </c>
      <c r="I67" s="6"/>
      <c r="J67" s="3"/>
    </row>
    <row r="68" spans="1:17">
      <c r="A68" s="6" t="s">
        <v>148</v>
      </c>
      <c r="B68" s="3">
        <f>AY5</f>
        <v>0.26383200056556999</v>
      </c>
      <c r="C68" s="3">
        <f t="shared" ref="C68:H68" si="85">AZ5</f>
        <v>0</v>
      </c>
      <c r="D68" s="3">
        <f t="shared" si="85"/>
        <v>0.118150464296256</v>
      </c>
      <c r="E68" s="3">
        <f t="shared" si="85"/>
        <v>0</v>
      </c>
      <c r="F68" s="3">
        <f t="shared" si="85"/>
        <v>1.3597920365048799E-3</v>
      </c>
      <c r="G68" s="3">
        <f t="shared" si="85"/>
        <v>0</v>
      </c>
      <c r="H68" s="3">
        <f t="shared" si="85"/>
        <v>4.1758183902481996E-3</v>
      </c>
      <c r="I68" s="6"/>
      <c r="J68" s="3"/>
    </row>
    <row r="71" spans="1:17">
      <c r="B71" s="6" t="str">
        <f>A6</f>
        <v>transit_stations_percent_change_from_baseline</v>
      </c>
    </row>
    <row r="72" spans="1:17">
      <c r="N72" s="3" t="str">
        <f>B71</f>
        <v>transit_stations_percent_change_from_baseline</v>
      </c>
    </row>
    <row r="73" spans="1:17">
      <c r="B73" s="6" t="s">
        <v>130</v>
      </c>
      <c r="C73" s="6"/>
      <c r="D73" s="6" t="s">
        <v>131</v>
      </c>
      <c r="E73" s="6"/>
      <c r="F73" s="6" t="s">
        <v>132</v>
      </c>
      <c r="I73" s="6" t="s">
        <v>133</v>
      </c>
      <c r="J73" s="6" t="s">
        <v>134</v>
      </c>
    </row>
    <row r="74" spans="1:17">
      <c r="A74" s="6" t="s">
        <v>135</v>
      </c>
      <c r="B74" s="6" t="s">
        <v>136</v>
      </c>
      <c r="C74" s="6" t="s">
        <v>137</v>
      </c>
      <c r="D74" s="6" t="s">
        <v>136</v>
      </c>
      <c r="E74" s="6" t="s">
        <v>137</v>
      </c>
      <c r="F74" s="6" t="s">
        <v>136</v>
      </c>
      <c r="G74" s="6" t="s">
        <v>137</v>
      </c>
      <c r="H74" s="6" t="s">
        <v>138</v>
      </c>
      <c r="I74" s="6"/>
      <c r="N74" s="3" t="s">
        <v>135</v>
      </c>
      <c r="O74" s="3" t="s">
        <v>131</v>
      </c>
      <c r="P74" t="s">
        <v>132</v>
      </c>
      <c r="Q74" s="3" t="s">
        <v>153</v>
      </c>
    </row>
    <row r="75" spans="1:17">
      <c r="A75" s="6" t="s">
        <v>139</v>
      </c>
      <c r="B75" s="3">
        <f>B6</f>
        <v>3.8964791171989899</v>
      </c>
      <c r="C75" s="3">
        <f t="shared" ref="C75:H75" si="86">C6</f>
        <v>0</v>
      </c>
      <c r="D75" s="3">
        <f t="shared" si="86"/>
        <v>0.42901109036642698</v>
      </c>
      <c r="E75" s="3">
        <f t="shared" si="86"/>
        <v>0</v>
      </c>
      <c r="F75" s="3">
        <f t="shared" si="86"/>
        <v>0.377388291354957</v>
      </c>
      <c r="G75" s="3">
        <f t="shared" si="86"/>
        <v>0</v>
      </c>
      <c r="H75" s="3">
        <f t="shared" si="86"/>
        <v>0.37661431051126498</v>
      </c>
      <c r="I75" s="6"/>
      <c r="J75" s="3"/>
      <c r="N75" s="3" t="s">
        <v>142</v>
      </c>
      <c r="O75" s="4">
        <f>D77</f>
        <v>0.229897515405597</v>
      </c>
      <c r="P75" s="11">
        <f>F77</f>
        <v>1.4826678290562001E-4</v>
      </c>
      <c r="Q75" s="3">
        <f>H77</f>
        <v>6.0865463515103104E-3</v>
      </c>
    </row>
    <row r="76" spans="1:17">
      <c r="A76" s="6" t="s">
        <v>141</v>
      </c>
      <c r="B76" s="3">
        <f>I6</f>
        <v>0.74263143479507798</v>
      </c>
      <c r="C76" s="3">
        <f t="shared" ref="C76:H76" si="87">J6</f>
        <v>0</v>
      </c>
      <c r="D76" s="3">
        <f t="shared" si="87"/>
        <v>0.38043260191837502</v>
      </c>
      <c r="E76" s="3">
        <f t="shared" si="87"/>
        <v>0</v>
      </c>
      <c r="F76" s="3">
        <f t="shared" si="87"/>
        <v>5.3043957047945404E-3</v>
      </c>
      <c r="G76" s="3">
        <f t="shared" si="87"/>
        <v>0</v>
      </c>
      <c r="H76" s="3">
        <f t="shared" si="87"/>
        <v>1.6141319629419299E-2</v>
      </c>
      <c r="I76" s="6"/>
      <c r="J76" s="3"/>
      <c r="N76" s="3" t="s">
        <v>143</v>
      </c>
      <c r="O76" s="4">
        <f>D78</f>
        <v>0.21062687136049801</v>
      </c>
      <c r="P76" s="11">
        <f>F78</f>
        <v>2.6022067725849601E-3</v>
      </c>
      <c r="Q76" s="3">
        <f>H78</f>
        <v>7.7689502775766597E-3</v>
      </c>
    </row>
    <row r="77" spans="1:17">
      <c r="A77" s="7" t="s">
        <v>142</v>
      </c>
      <c r="B77" s="4">
        <f>P6</f>
        <v>0.96215168579112098</v>
      </c>
      <c r="C77" s="4">
        <f t="shared" ref="C77:H77" si="88">Q6</f>
        <v>0</v>
      </c>
      <c r="D77" s="4">
        <f t="shared" si="88"/>
        <v>0.229897515405597</v>
      </c>
      <c r="E77" s="4">
        <f t="shared" si="88"/>
        <v>0</v>
      </c>
      <c r="F77" s="4">
        <f t="shared" si="88"/>
        <v>1.4826678290562001E-4</v>
      </c>
      <c r="G77" s="4">
        <f t="shared" si="88"/>
        <v>0</v>
      </c>
      <c r="H77" s="4">
        <f t="shared" si="88"/>
        <v>6.0865463515103104E-3</v>
      </c>
      <c r="I77" s="6"/>
      <c r="J77" s="3"/>
      <c r="N77" s="3" t="s">
        <v>145</v>
      </c>
      <c r="O77" s="3">
        <f>D80</f>
        <v>0.80831023197299801</v>
      </c>
      <c r="P77" s="11">
        <f>F80</f>
        <v>4.65834238399829E-3</v>
      </c>
      <c r="Q77" s="3">
        <f>H80</f>
        <v>2.4602343043894401E-2</v>
      </c>
    </row>
    <row r="78" spans="1:17">
      <c r="A78" s="8" t="s">
        <v>143</v>
      </c>
      <c r="B78" s="9">
        <f>W6</f>
        <v>0.778061647289508</v>
      </c>
      <c r="C78" s="9">
        <f t="shared" ref="C78:H78" si="89">X6</f>
        <v>0</v>
      </c>
      <c r="D78" s="9">
        <f t="shared" si="89"/>
        <v>0.21062687136049801</v>
      </c>
      <c r="E78" s="9">
        <f t="shared" si="89"/>
        <v>0</v>
      </c>
      <c r="F78" s="9">
        <f t="shared" si="89"/>
        <v>2.6022067725849601E-3</v>
      </c>
      <c r="G78" s="9">
        <f t="shared" si="89"/>
        <v>0</v>
      </c>
      <c r="H78" s="9">
        <f t="shared" si="89"/>
        <v>7.7689502775766597E-3</v>
      </c>
      <c r="I78" s="10">
        <f>100*(D78-D77)/D78</f>
        <v>-9.1491859137556819</v>
      </c>
      <c r="J78" s="10">
        <f>100*(F78-F77)/F78</f>
        <v>94.302267426721983</v>
      </c>
      <c r="N78" t="s">
        <v>144</v>
      </c>
      <c r="O78" s="3">
        <f>D79</f>
        <v>1.2532021381337899</v>
      </c>
      <c r="P78" s="11">
        <f>F79</f>
        <v>1.0970682226031399E-2</v>
      </c>
      <c r="Q78" s="3">
        <f>H79</f>
        <v>4.2264689502441E-2</v>
      </c>
    </row>
    <row r="79" spans="1:17">
      <c r="A79" s="6" t="s">
        <v>144</v>
      </c>
      <c r="B79" s="3">
        <f>AD6</f>
        <v>4.2687043403698901</v>
      </c>
      <c r="C79" s="3">
        <f t="shared" ref="C79:H79" si="90">AE6</f>
        <v>0</v>
      </c>
      <c r="D79" s="3">
        <f t="shared" si="90"/>
        <v>1.2532021381337899</v>
      </c>
      <c r="E79" s="3">
        <f t="shared" si="90"/>
        <v>0</v>
      </c>
      <c r="F79" s="3">
        <f t="shared" si="90"/>
        <v>1.0970682226031399E-2</v>
      </c>
      <c r="G79" s="3">
        <f t="shared" si="90"/>
        <v>0</v>
      </c>
      <c r="H79" s="3">
        <f t="shared" si="90"/>
        <v>4.2264689502441E-2</v>
      </c>
    </row>
    <row r="80" spans="1:17">
      <c r="A80" s="8" t="s">
        <v>145</v>
      </c>
      <c r="B80" s="9">
        <f>AK6</f>
        <v>2.6752197380056399</v>
      </c>
      <c r="C80" s="9">
        <f t="shared" ref="C80:H80" si="91">AL6</f>
        <v>0</v>
      </c>
      <c r="D80" s="9">
        <f t="shared" si="91"/>
        <v>0.80831023197299801</v>
      </c>
      <c r="E80" s="9">
        <f t="shared" si="91"/>
        <v>0</v>
      </c>
      <c r="F80" s="9">
        <f t="shared" si="91"/>
        <v>4.65834238399829E-3</v>
      </c>
      <c r="G80" s="9">
        <f t="shared" si="91"/>
        <v>0</v>
      </c>
      <c r="H80" s="9">
        <f t="shared" si="91"/>
        <v>2.4602343043894401E-2</v>
      </c>
      <c r="I80" s="10">
        <f>100*(D80-D77)/D80</f>
        <v>71.558257422469836</v>
      </c>
      <c r="J80" s="10">
        <f>100*(F80-F77)/F80</f>
        <v>96.817177212758637</v>
      </c>
    </row>
    <row r="81" spans="1:17">
      <c r="A81" s="6" t="s">
        <v>146</v>
      </c>
      <c r="B81" s="3">
        <f>AR6</f>
        <v>17.021232637365799</v>
      </c>
      <c r="C81" s="3">
        <f t="shared" ref="C81:H81" si="92">AS6</f>
        <v>0</v>
      </c>
      <c r="D81" s="3">
        <f t="shared" si="92"/>
        <v>8.4805185231459408</v>
      </c>
      <c r="E81" s="3">
        <f t="shared" si="92"/>
        <v>0</v>
      </c>
      <c r="F81" s="3">
        <f t="shared" si="92"/>
        <v>5.7872524475681298E-3</v>
      </c>
      <c r="G81" s="3">
        <f t="shared" si="92"/>
        <v>0</v>
      </c>
      <c r="H81" s="3">
        <f t="shared" si="92"/>
        <v>0.22634751501544401</v>
      </c>
      <c r="I81" s="6"/>
      <c r="J81" s="3"/>
    </row>
    <row r="82" spans="1:17">
      <c r="A82" s="6" t="s">
        <v>148</v>
      </c>
      <c r="B82" s="3">
        <f>AY6</f>
        <v>0.64112201755390097</v>
      </c>
      <c r="C82" s="3">
        <f t="shared" ref="C82:H82" si="93">AZ6</f>
        <v>0</v>
      </c>
      <c r="D82" s="3">
        <f t="shared" si="93"/>
        <v>0.17459743344366599</v>
      </c>
      <c r="E82" s="3">
        <f t="shared" si="93"/>
        <v>0</v>
      </c>
      <c r="F82" s="3">
        <f t="shared" si="93"/>
        <v>1.5099731644880601E-3</v>
      </c>
      <c r="G82" s="3">
        <f t="shared" si="93"/>
        <v>0</v>
      </c>
      <c r="H82" s="3">
        <f t="shared" si="93"/>
        <v>5.7190729518588898E-3</v>
      </c>
      <c r="I82" s="6"/>
      <c r="J82" s="3"/>
    </row>
    <row r="85" spans="1:17">
      <c r="B85" s="6" t="str">
        <f>A7</f>
        <v>workplaces_percent_change_from_baseline</v>
      </c>
    </row>
    <row r="86" spans="1:17">
      <c r="N86" s="3" t="str">
        <f>B85</f>
        <v>workplaces_percent_change_from_baseline</v>
      </c>
    </row>
    <row r="87" spans="1:17">
      <c r="B87" s="6" t="s">
        <v>130</v>
      </c>
      <c r="C87" s="6"/>
      <c r="D87" s="6" t="s">
        <v>131</v>
      </c>
      <c r="E87" s="6"/>
      <c r="F87" s="6" t="s">
        <v>132</v>
      </c>
      <c r="I87" s="6" t="s">
        <v>133</v>
      </c>
      <c r="J87" s="6" t="s">
        <v>134</v>
      </c>
    </row>
    <row r="88" spans="1:17">
      <c r="A88" s="6" t="s">
        <v>135</v>
      </c>
      <c r="B88" s="6" t="s">
        <v>136</v>
      </c>
      <c r="C88" s="6" t="s">
        <v>137</v>
      </c>
      <c r="D88" s="6" t="s">
        <v>136</v>
      </c>
      <c r="E88" s="6" t="s">
        <v>137</v>
      </c>
      <c r="F88" s="6" t="s">
        <v>136</v>
      </c>
      <c r="G88" s="6" t="s">
        <v>137</v>
      </c>
      <c r="H88" s="6" t="s">
        <v>138</v>
      </c>
      <c r="I88" s="6"/>
      <c r="N88" s="3" t="s">
        <v>135</v>
      </c>
      <c r="O88" s="3" t="s">
        <v>131</v>
      </c>
      <c r="P88" t="s">
        <v>132</v>
      </c>
      <c r="Q88" s="3" t="s">
        <v>153</v>
      </c>
    </row>
    <row r="89" spans="1:17">
      <c r="A89" s="6" t="s">
        <v>139</v>
      </c>
      <c r="B89" s="3">
        <f>B7</f>
        <v>0.69350129878125699</v>
      </c>
      <c r="C89" s="3">
        <f t="shared" ref="C89:H89" si="94">C7</f>
        <v>0</v>
      </c>
      <c r="D89" s="3">
        <f t="shared" si="94"/>
        <v>0.46239071372968099</v>
      </c>
      <c r="E89" s="3">
        <f t="shared" si="94"/>
        <v>0</v>
      </c>
      <c r="F89" s="3">
        <f t="shared" si="94"/>
        <v>6.6909025185653097E-4</v>
      </c>
      <c r="G89" s="3">
        <f t="shared" si="94"/>
        <v>0</v>
      </c>
      <c r="H89" s="3">
        <f t="shared" si="94"/>
        <v>1.2096358359801799E-2</v>
      </c>
      <c r="I89" s="6"/>
      <c r="J89" s="3"/>
      <c r="N89" s="3" t="s">
        <v>142</v>
      </c>
      <c r="O89" s="3">
        <f>D91</f>
        <v>0.133026345095658</v>
      </c>
      <c r="P89" s="11">
        <f>F91</f>
        <v>3.4428695398009497E-5</v>
      </c>
      <c r="Q89" s="3">
        <f>H91</f>
        <v>3.2900642582974799E-3</v>
      </c>
    </row>
    <row r="90" spans="1:17">
      <c r="A90" s="6" t="s">
        <v>141</v>
      </c>
      <c r="B90" s="3">
        <f>I7</f>
        <v>0.320703051244008</v>
      </c>
      <c r="C90" s="3">
        <f t="shared" ref="C90:H90" si="95">J7</f>
        <v>0</v>
      </c>
      <c r="D90" s="3">
        <f t="shared" si="95"/>
        <v>0.23620083753468701</v>
      </c>
      <c r="E90" s="3">
        <f t="shared" si="95"/>
        <v>0</v>
      </c>
      <c r="F90" s="3">
        <f t="shared" si="95"/>
        <v>9.25046771738475E-4</v>
      </c>
      <c r="G90" s="3">
        <f t="shared" si="95"/>
        <v>0</v>
      </c>
      <c r="H90" s="3">
        <f t="shared" si="95"/>
        <v>6.9621453377657601E-3</v>
      </c>
      <c r="I90" s="6"/>
      <c r="J90" s="3"/>
      <c r="N90" s="3" t="s">
        <v>143</v>
      </c>
      <c r="O90" s="3">
        <f>D92</f>
        <v>0.19550163297331899</v>
      </c>
      <c r="P90" s="11">
        <f>F92</f>
        <v>6.5140507554410404E-4</v>
      </c>
      <c r="Q90" s="3">
        <f>H92</f>
        <v>5.3359446592993898E-3</v>
      </c>
    </row>
    <row r="91" spans="1:17">
      <c r="A91" s="7" t="s">
        <v>142</v>
      </c>
      <c r="B91" s="4">
        <f>P7</f>
        <v>0.22392743697189901</v>
      </c>
      <c r="C91" s="4">
        <f t="shared" ref="C91:H91" si="96">Q7</f>
        <v>0</v>
      </c>
      <c r="D91" s="4">
        <f t="shared" si="96"/>
        <v>0.133026345095658</v>
      </c>
      <c r="E91" s="4">
        <f t="shared" si="96"/>
        <v>0</v>
      </c>
      <c r="F91" s="4">
        <f t="shared" si="96"/>
        <v>3.4428695398009497E-5</v>
      </c>
      <c r="G91" s="4">
        <f t="shared" si="96"/>
        <v>0</v>
      </c>
      <c r="H91" s="4">
        <f t="shared" si="96"/>
        <v>3.2900642582974799E-3</v>
      </c>
      <c r="I91" s="6"/>
      <c r="J91" s="3"/>
      <c r="N91" s="3" t="s">
        <v>145</v>
      </c>
      <c r="O91" s="3">
        <f>D94</f>
        <v>1.01223969080693</v>
      </c>
      <c r="P91" s="11">
        <f>F94</f>
        <v>5.01420561909908E-3</v>
      </c>
      <c r="Q91" s="3">
        <f>H94</f>
        <v>2.9193992483458098E-2</v>
      </c>
    </row>
    <row r="92" spans="1:17">
      <c r="A92" s="8" t="s">
        <v>143</v>
      </c>
      <c r="B92" s="9">
        <f>W7</f>
        <v>0.30577836111880502</v>
      </c>
      <c r="C92" s="9">
        <f t="shared" ref="C92:H92" si="97">X7</f>
        <v>0</v>
      </c>
      <c r="D92" s="9">
        <f t="shared" si="97"/>
        <v>0.19550163297331899</v>
      </c>
      <c r="E92" s="9">
        <f t="shared" si="97"/>
        <v>0</v>
      </c>
      <c r="F92" s="9">
        <f t="shared" si="97"/>
        <v>6.5140507554410404E-4</v>
      </c>
      <c r="G92" s="9">
        <f t="shared" si="97"/>
        <v>0</v>
      </c>
      <c r="H92" s="9">
        <f t="shared" si="97"/>
        <v>5.3359446592993898E-3</v>
      </c>
      <c r="I92" s="10">
        <f>100*(D92-D91)/D92</f>
        <v>31.956402065545547</v>
      </c>
      <c r="J92" s="10">
        <f>100*(F92-F91)/F92</f>
        <v>94.714702618911588</v>
      </c>
      <c r="N92" t="s">
        <v>144</v>
      </c>
      <c r="O92" s="3">
        <f>D93</f>
        <v>1.22909611905452</v>
      </c>
      <c r="P92" s="11">
        <f>F93</f>
        <v>4.09582145562258E-3</v>
      </c>
      <c r="Q92" s="3">
        <f>H93</f>
        <v>3.3551806229889E-2</v>
      </c>
    </row>
    <row r="93" spans="1:17">
      <c r="A93" s="6" t="s">
        <v>144</v>
      </c>
      <c r="B93" s="3">
        <f>AD7</f>
        <v>1.6836962568009799</v>
      </c>
      <c r="C93" s="3">
        <f t="shared" ref="C93:H93" si="98">AE7</f>
        <v>0</v>
      </c>
      <c r="D93" s="3">
        <f t="shared" si="98"/>
        <v>1.22909611905452</v>
      </c>
      <c r="E93" s="3">
        <f t="shared" si="98"/>
        <v>0</v>
      </c>
      <c r="F93" s="3">
        <f t="shared" si="98"/>
        <v>4.09582145562258E-3</v>
      </c>
      <c r="G93" s="3">
        <f t="shared" si="98"/>
        <v>0</v>
      </c>
      <c r="H93" s="3">
        <f t="shared" si="98"/>
        <v>3.3551806229889E-2</v>
      </c>
    </row>
    <row r="94" spans="1:17">
      <c r="A94" s="8" t="s">
        <v>145</v>
      </c>
      <c r="B94" s="9">
        <f>AK7</f>
        <v>1.52700894833367</v>
      </c>
      <c r="C94" s="9">
        <f t="shared" ref="C94:H94" si="99">AL7</f>
        <v>0</v>
      </c>
      <c r="D94" s="9">
        <f t="shared" si="99"/>
        <v>1.01223969080693</v>
      </c>
      <c r="E94" s="9">
        <f t="shared" si="99"/>
        <v>0</v>
      </c>
      <c r="F94" s="9">
        <f t="shared" si="99"/>
        <v>5.01420561909908E-3</v>
      </c>
      <c r="G94" s="9">
        <f t="shared" si="99"/>
        <v>0</v>
      </c>
      <c r="H94" s="9">
        <f t="shared" si="99"/>
        <v>2.9193992483458098E-2</v>
      </c>
      <c r="I94" s="10">
        <f>100*(D94-D91)/D94</f>
        <v>86.858216852807544</v>
      </c>
      <c r="J94" s="10">
        <f>100*(F94-F91)/F94</f>
        <v>99.313376873360141</v>
      </c>
    </row>
    <row r="95" spans="1:17">
      <c r="A95" s="6" t="s">
        <v>146</v>
      </c>
      <c r="B95" s="3">
        <f>AR7</f>
        <v>3.07810499311829</v>
      </c>
      <c r="C95" s="3">
        <f t="shared" ref="C95:H95" si="100">AS7</f>
        <v>0</v>
      </c>
      <c r="D95" s="3">
        <f t="shared" si="100"/>
        <v>2.4115131856333201</v>
      </c>
      <c r="E95" s="3">
        <f t="shared" si="100"/>
        <v>0</v>
      </c>
      <c r="F95" s="3">
        <f t="shared" si="100"/>
        <v>1.28177012869763E-3</v>
      </c>
      <c r="G95" s="3">
        <f t="shared" si="100"/>
        <v>0</v>
      </c>
      <c r="H95" s="3">
        <f t="shared" si="100"/>
        <v>5.9067721312583199E-2</v>
      </c>
      <c r="I95" s="6"/>
      <c r="J95" s="3"/>
    </row>
    <row r="96" spans="1:17">
      <c r="A96" s="6" t="s">
        <v>148</v>
      </c>
      <c r="B96" s="3">
        <f>AY7</f>
        <v>0.17504519703329999</v>
      </c>
      <c r="C96" s="3">
        <f t="shared" ref="C96:H96" si="101">AZ7</f>
        <v>0</v>
      </c>
      <c r="D96" s="3">
        <f t="shared" si="101"/>
        <v>0.10752789691095201</v>
      </c>
      <c r="E96" s="3">
        <f t="shared" si="101"/>
        <v>0</v>
      </c>
      <c r="F96" s="3">
        <f t="shared" si="101"/>
        <v>5.6507106167046702E-4</v>
      </c>
      <c r="G96" s="3">
        <f t="shared" si="101"/>
        <v>0</v>
      </c>
      <c r="H96" s="3">
        <f t="shared" si="101"/>
        <v>3.1097211687139302E-3</v>
      </c>
      <c r="I96" s="6"/>
      <c r="J9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C72EF-C9DD-2F4C-87DD-0235A939EF41}">
  <dimension ref="A1:AW97"/>
  <sheetViews>
    <sheetView tabSelected="1" topLeftCell="A61" workbookViewId="0">
      <selection activeCell="R94" sqref="R94:R97"/>
    </sheetView>
  </sheetViews>
  <sheetFormatPr baseColWidth="10" defaultRowHeight="16"/>
  <cols>
    <col min="2" max="2" width="14.83203125" customWidth="1"/>
    <col min="8" max="8" width="15.6640625" customWidth="1"/>
    <col min="14" max="14" width="18.33203125" customWidth="1"/>
    <col min="15" max="15" width="14.5" customWidth="1"/>
    <col min="16" max="16" width="16.83203125" bestFit="1" customWidth="1"/>
    <col min="18" max="18" width="13" customWidth="1"/>
    <col min="19" max="19" width="13.1640625" customWidth="1"/>
    <col min="25" max="25" width="11.33203125" customWidth="1"/>
    <col min="26" max="26" width="18.5" customWidth="1"/>
    <col min="27" max="27" width="13.6640625" customWidth="1"/>
    <col min="31" max="31" width="13" customWidth="1"/>
    <col min="32" max="32" width="15.6640625" customWidth="1"/>
    <col min="38" max="38" width="19.1640625" customWidth="1"/>
    <col min="44" max="44" width="14" customWidth="1"/>
  </cols>
  <sheetData>
    <row r="1" spans="1:49">
      <c r="A1" t="s">
        <v>71</v>
      </c>
      <c r="B1" s="15" t="s">
        <v>72</v>
      </c>
      <c r="C1" t="s">
        <v>73</v>
      </c>
      <c r="D1" t="s">
        <v>74</v>
      </c>
      <c r="E1" t="s">
        <v>75</v>
      </c>
      <c r="F1" t="s">
        <v>76</v>
      </c>
      <c r="G1" t="s">
        <v>77</v>
      </c>
      <c r="H1" s="15" t="s">
        <v>79</v>
      </c>
      <c r="I1" t="s">
        <v>80</v>
      </c>
      <c r="J1" t="s">
        <v>81</v>
      </c>
      <c r="K1" t="s">
        <v>82</v>
      </c>
      <c r="L1" t="s">
        <v>83</v>
      </c>
      <c r="M1" t="s">
        <v>84</v>
      </c>
      <c r="N1" s="15" t="s">
        <v>86</v>
      </c>
      <c r="O1" t="s">
        <v>87</v>
      </c>
      <c r="P1" t="s">
        <v>88</v>
      </c>
      <c r="Q1" t="s">
        <v>89</v>
      </c>
      <c r="R1" t="s">
        <v>90</v>
      </c>
      <c r="S1" t="s">
        <v>91</v>
      </c>
      <c r="T1" s="15" t="s">
        <v>93</v>
      </c>
      <c r="U1" t="s">
        <v>94</v>
      </c>
      <c r="V1" t="s">
        <v>95</v>
      </c>
      <c r="W1" t="s">
        <v>96</v>
      </c>
      <c r="X1" t="s">
        <v>97</v>
      </c>
      <c r="Y1" t="s">
        <v>98</v>
      </c>
      <c r="Z1" s="15" t="s">
        <v>100</v>
      </c>
      <c r="AA1" t="s">
        <v>101</v>
      </c>
      <c r="AB1" t="s">
        <v>102</v>
      </c>
      <c r="AC1" t="s">
        <v>103</v>
      </c>
      <c r="AD1" t="s">
        <v>104</v>
      </c>
      <c r="AE1" t="s">
        <v>105</v>
      </c>
      <c r="AF1" s="15" t="s">
        <v>107</v>
      </c>
      <c r="AG1" t="s">
        <v>108</v>
      </c>
      <c r="AH1" t="s">
        <v>109</v>
      </c>
      <c r="AI1" t="s">
        <v>110</v>
      </c>
      <c r="AJ1" t="s">
        <v>111</v>
      </c>
      <c r="AK1" t="s">
        <v>112</v>
      </c>
      <c r="AL1" s="15" t="s">
        <v>114</v>
      </c>
      <c r="AM1" t="s">
        <v>115</v>
      </c>
      <c r="AN1" t="s">
        <v>116</v>
      </c>
      <c r="AO1" t="s">
        <v>117</v>
      </c>
      <c r="AP1" t="s">
        <v>118</v>
      </c>
      <c r="AQ1" t="s">
        <v>119</v>
      </c>
      <c r="AR1" s="15" t="s">
        <v>121</v>
      </c>
      <c r="AS1" t="s">
        <v>122</v>
      </c>
      <c r="AT1" t="s">
        <v>123</v>
      </c>
      <c r="AU1" t="s">
        <v>124</v>
      </c>
      <c r="AV1" t="s">
        <v>125</v>
      </c>
      <c r="AW1" t="s">
        <v>126</v>
      </c>
    </row>
    <row r="2" spans="1:49">
      <c r="A2" t="s">
        <v>149</v>
      </c>
      <c r="B2" s="15">
        <v>2.3370693058512901</v>
      </c>
      <c r="C2">
        <v>7.1596061962997304</v>
      </c>
      <c r="D2">
        <v>0.82503046572586702</v>
      </c>
      <c r="E2">
        <v>0.676508558069009</v>
      </c>
      <c r="F2">
        <v>8.6558150642156703E-2</v>
      </c>
      <c r="G2">
        <v>0.72244694157465394</v>
      </c>
      <c r="H2" s="15">
        <v>1.96031429337079</v>
      </c>
      <c r="I2">
        <v>5.2769975063664099</v>
      </c>
      <c r="J2">
        <v>0.83017834869817098</v>
      </c>
      <c r="K2">
        <v>2.2401012059190699</v>
      </c>
      <c r="L2">
        <v>8.6047601225251097E-2</v>
      </c>
      <c r="M2">
        <v>0.26811441964919303</v>
      </c>
      <c r="N2" s="15">
        <v>0.53752582686975703</v>
      </c>
      <c r="O2">
        <v>1.31336079580861</v>
      </c>
      <c r="P2">
        <v>0.22347670528733199</v>
      </c>
      <c r="Q2">
        <v>0.227372293527043</v>
      </c>
      <c r="R2">
        <v>8.4226341189587994E-2</v>
      </c>
      <c r="S2">
        <v>0.238192011078045</v>
      </c>
      <c r="T2" s="15">
        <v>0.68736288982000104</v>
      </c>
      <c r="U2">
        <v>4.6635592151015803</v>
      </c>
      <c r="V2">
        <v>0.23369982935388001</v>
      </c>
      <c r="W2">
        <v>0.68801154423984401</v>
      </c>
      <c r="X2">
        <v>8.5872245662843696E-2</v>
      </c>
      <c r="Y2">
        <v>0.24366873223473101</v>
      </c>
      <c r="Z2" s="15">
        <v>0.42480862878310099</v>
      </c>
      <c r="AA2">
        <v>3.7249390060736398</v>
      </c>
      <c r="AB2">
        <v>0.14042445986204899</v>
      </c>
      <c r="AC2">
        <v>0.55640080179606899</v>
      </c>
      <c r="AD2" t="s">
        <v>154</v>
      </c>
      <c r="AE2">
        <v>0.24790277821064299</v>
      </c>
      <c r="AF2" s="15">
        <v>0.75994269045013796</v>
      </c>
      <c r="AG2">
        <v>2.8276493961513398</v>
      </c>
      <c r="AH2">
        <v>0.30011378547488399</v>
      </c>
      <c r="AI2">
        <v>0.49706853490296599</v>
      </c>
      <c r="AJ2" t="s">
        <v>154</v>
      </c>
      <c r="AK2">
        <v>0.24294250229275599</v>
      </c>
      <c r="AL2" s="15">
        <v>0.38848496291839701</v>
      </c>
      <c r="AM2">
        <v>4.5063184489505401</v>
      </c>
      <c r="AN2">
        <v>0.132490743224044</v>
      </c>
      <c r="AO2">
        <v>0.52635244456704999</v>
      </c>
      <c r="AP2">
        <v>63.408302990361499</v>
      </c>
      <c r="AQ2">
        <v>51.187083114019401</v>
      </c>
      <c r="AR2" s="15">
        <v>0.33702765082154101</v>
      </c>
      <c r="AS2" s="5">
        <v>3.4757782898035798E+25</v>
      </c>
      <c r="AT2">
        <v>0.13207257072916201</v>
      </c>
      <c r="AU2" t="s">
        <v>154</v>
      </c>
      <c r="AV2">
        <v>4450.1679332178401</v>
      </c>
      <c r="AW2" s="5">
        <v>6.2743252747920198E+25</v>
      </c>
    </row>
    <row r="3" spans="1:49">
      <c r="A3" t="s">
        <v>150</v>
      </c>
      <c r="B3" s="15">
        <v>7.99457753178151</v>
      </c>
      <c r="C3">
        <v>30.908202076935499</v>
      </c>
      <c r="D3">
        <v>1.6247228178853701</v>
      </c>
      <c r="E3">
        <v>2.3312172046658</v>
      </c>
      <c r="F3">
        <v>44.5182437425728</v>
      </c>
      <c r="G3">
        <v>19485.3551753584</v>
      </c>
      <c r="H3" s="15">
        <v>6.0789079127473098</v>
      </c>
      <c r="I3">
        <v>28.8920721386162</v>
      </c>
      <c r="J3">
        <v>1.4002450686835599</v>
      </c>
      <c r="K3">
        <v>1.22026430056498</v>
      </c>
      <c r="L3">
        <v>23.215878765092501</v>
      </c>
      <c r="M3">
        <v>45.9825409722553</v>
      </c>
      <c r="N3" s="15">
        <v>5.5769981580278101</v>
      </c>
      <c r="O3">
        <v>26.318433109229101</v>
      </c>
      <c r="P3">
        <v>1.0472486700997199</v>
      </c>
      <c r="Q3">
        <v>0.99607639685170601</v>
      </c>
      <c r="R3">
        <v>1.6077837411913101</v>
      </c>
      <c r="S3">
        <v>4.27296166931849</v>
      </c>
      <c r="T3" s="15">
        <v>6.2034976286789298</v>
      </c>
      <c r="U3">
        <v>26.553793182393701</v>
      </c>
      <c r="V3">
        <v>1.12863811683099</v>
      </c>
      <c r="W3">
        <v>1.0171924188026999</v>
      </c>
      <c r="X3">
        <v>1.6080445750657799</v>
      </c>
      <c r="Y3">
        <v>4.2789280213060996</v>
      </c>
      <c r="Z3" s="15">
        <v>4.7853605433517403</v>
      </c>
      <c r="AA3">
        <v>97.095371837937094</v>
      </c>
      <c r="AB3">
        <v>0.875279010839497</v>
      </c>
      <c r="AC3">
        <v>1.09766669629155</v>
      </c>
      <c r="AD3" t="s">
        <v>154</v>
      </c>
      <c r="AE3">
        <v>4.41964715513308</v>
      </c>
      <c r="AF3" s="15">
        <v>5.0762443485114401</v>
      </c>
      <c r="AG3">
        <v>32.2377945600931</v>
      </c>
      <c r="AH3">
        <v>0.87787732080636705</v>
      </c>
      <c r="AI3">
        <v>1.0409660613057601</v>
      </c>
      <c r="AJ3" t="s">
        <v>154</v>
      </c>
      <c r="AK3">
        <v>4.2847446867861603</v>
      </c>
      <c r="AL3" s="15">
        <v>4.66746722020389</v>
      </c>
      <c r="AM3">
        <v>322.61950129412003</v>
      </c>
      <c r="AN3">
        <v>0.84614677431813701</v>
      </c>
      <c r="AO3">
        <v>1.2107045798349101</v>
      </c>
      <c r="AP3">
        <v>403.30338427984799</v>
      </c>
      <c r="AQ3">
        <v>12514.842388582299</v>
      </c>
      <c r="AR3" s="15">
        <v>5.9061288388826698</v>
      </c>
      <c r="AS3" t="s">
        <v>154</v>
      </c>
      <c r="AT3">
        <v>1.0879135061421501</v>
      </c>
      <c r="AU3" t="s">
        <v>154</v>
      </c>
      <c r="AV3">
        <v>3578.78561751506</v>
      </c>
      <c r="AW3" s="5">
        <v>5.55804730627122E+51</v>
      </c>
    </row>
    <row r="4" spans="1:49">
      <c r="A4" t="s">
        <v>129</v>
      </c>
      <c r="B4" s="15">
        <v>182.017752605288</v>
      </c>
      <c r="C4">
        <v>58.679155010516602</v>
      </c>
      <c r="D4">
        <v>12.668830065167301</v>
      </c>
      <c r="E4">
        <v>3.4263871538421302</v>
      </c>
      <c r="F4">
        <v>2.9946737302391</v>
      </c>
      <c r="G4">
        <v>259.64212570057799</v>
      </c>
      <c r="H4" s="15">
        <v>172.273616850368</v>
      </c>
      <c r="I4">
        <v>113.08339054707</v>
      </c>
      <c r="J4">
        <v>11.6427162127799</v>
      </c>
      <c r="K4">
        <v>4.1023806127870399</v>
      </c>
      <c r="L4">
        <v>3.1858584538517398</v>
      </c>
      <c r="M4">
        <v>6.4695050231894902</v>
      </c>
      <c r="N4" s="15">
        <v>35.642457276864803</v>
      </c>
      <c r="O4">
        <v>58.933718147243603</v>
      </c>
      <c r="P4">
        <v>1.4381331154633501</v>
      </c>
      <c r="Q4">
        <v>3.68027685016474</v>
      </c>
      <c r="R4">
        <v>2.7308563639649899</v>
      </c>
      <c r="S4">
        <v>7.4721340594990193E-2</v>
      </c>
      <c r="T4" s="15">
        <v>88.0665871256695</v>
      </c>
      <c r="U4">
        <v>229.78849679208901</v>
      </c>
      <c r="V4">
        <v>2.42545403091769</v>
      </c>
      <c r="W4">
        <v>5.6587850471022696</v>
      </c>
      <c r="X4">
        <v>2.9898313721746201</v>
      </c>
      <c r="Y4">
        <v>0.17129668111371801</v>
      </c>
      <c r="Z4" s="15">
        <v>64.145196683533598</v>
      </c>
      <c r="AA4">
        <v>84.463777011437202</v>
      </c>
      <c r="AB4">
        <v>4.53818600123466</v>
      </c>
      <c r="AC4">
        <v>3.9708064766422799</v>
      </c>
      <c r="AD4" t="s">
        <v>154</v>
      </c>
      <c r="AE4">
        <v>9.2249896261099806E-2</v>
      </c>
      <c r="AF4" s="15">
        <v>55.838130967500902</v>
      </c>
      <c r="AG4">
        <v>93.201786102013898</v>
      </c>
      <c r="AH4">
        <v>3.51922205069808</v>
      </c>
      <c r="AI4">
        <v>4.3967274397608902</v>
      </c>
      <c r="AJ4" t="s">
        <v>154</v>
      </c>
      <c r="AK4">
        <v>8.9335595764890294E-2</v>
      </c>
      <c r="AL4" s="15">
        <v>46.972053974066299</v>
      </c>
      <c r="AM4">
        <v>58.499956537232897</v>
      </c>
      <c r="AN4">
        <v>3.39441797038263</v>
      </c>
      <c r="AO4">
        <v>3.6589279428486399</v>
      </c>
      <c r="AP4">
        <v>1227.59742031992</v>
      </c>
      <c r="AQ4">
        <v>0.62278138649517201</v>
      </c>
      <c r="AR4" s="15">
        <v>22.483067946348001</v>
      </c>
      <c r="AS4">
        <v>969.01025117715301</v>
      </c>
      <c r="AT4">
        <v>2.5437612695478702</v>
      </c>
      <c r="AU4">
        <v>6896631068839880</v>
      </c>
      <c r="AV4">
        <v>2.8120966291262199</v>
      </c>
      <c r="AW4">
        <v>3.9567259090236502</v>
      </c>
    </row>
    <row r="5" spans="1:49">
      <c r="A5" t="s">
        <v>151</v>
      </c>
      <c r="B5" s="15">
        <v>0.51748131124983798</v>
      </c>
      <c r="C5">
        <v>1.4565132221453501</v>
      </c>
      <c r="D5">
        <v>0.243763984616581</v>
      </c>
      <c r="E5">
        <v>0.30571476474190001</v>
      </c>
      <c r="F5">
        <v>1.25551666632297E-2</v>
      </c>
      <c r="G5">
        <v>1.9251516148416501E-2</v>
      </c>
      <c r="H5" s="15">
        <v>0.475111018613878</v>
      </c>
      <c r="I5">
        <v>1.1512566776795801</v>
      </c>
      <c r="J5">
        <v>0.26417463034843403</v>
      </c>
      <c r="K5">
        <v>0.32469974914120497</v>
      </c>
      <c r="L5">
        <v>1.3669285308539199E-2</v>
      </c>
      <c r="M5">
        <v>1.8386899921557901E-2</v>
      </c>
      <c r="N5" s="15">
        <v>0.171729746997587</v>
      </c>
      <c r="O5">
        <v>0.57522830495219202</v>
      </c>
      <c r="P5">
        <v>9.9329169312189103E-2</v>
      </c>
      <c r="Q5">
        <v>0.24271149528809199</v>
      </c>
      <c r="R5">
        <v>1.28443200184297E-2</v>
      </c>
      <c r="S5">
        <v>1.4356699190685499E-2</v>
      </c>
      <c r="T5" s="15">
        <v>0.137972222168909</v>
      </c>
      <c r="U5">
        <v>1.4622672252439</v>
      </c>
      <c r="V5">
        <v>6.6504321702892694E-2</v>
      </c>
      <c r="W5">
        <v>0.33158020569722102</v>
      </c>
      <c r="X5">
        <v>1.24095388213653E-2</v>
      </c>
      <c r="Y5">
        <v>1.6092092865717E-2</v>
      </c>
      <c r="Z5" s="15">
        <v>7.1809784867033002E-2</v>
      </c>
      <c r="AA5">
        <v>1.1091183167165499</v>
      </c>
      <c r="AB5">
        <v>3.3176979518191603E-2</v>
      </c>
      <c r="AC5">
        <v>0.25307432785373402</v>
      </c>
      <c r="AD5" t="s">
        <v>154</v>
      </c>
      <c r="AE5">
        <v>1.5863749737441899E-2</v>
      </c>
      <c r="AF5" s="15">
        <v>2.05761157272496</v>
      </c>
      <c r="AG5">
        <v>1.31683308753814</v>
      </c>
      <c r="AH5">
        <v>0.971800940561519</v>
      </c>
      <c r="AI5">
        <v>0.409448316410985</v>
      </c>
      <c r="AJ5" t="s">
        <v>154</v>
      </c>
      <c r="AK5">
        <v>1.522655488698E-2</v>
      </c>
      <c r="AL5" s="15">
        <v>6.7853756608834095E-2</v>
      </c>
      <c r="AM5">
        <v>1.0775199536011699</v>
      </c>
      <c r="AN5">
        <v>3.2308347655978203E-2</v>
      </c>
      <c r="AO5">
        <v>0.236341376611716</v>
      </c>
      <c r="AP5">
        <v>29.286988630336602</v>
      </c>
      <c r="AQ5">
        <v>16.5780499662173</v>
      </c>
      <c r="AR5" s="15">
        <v>7.1785412894082398E-2</v>
      </c>
      <c r="AS5">
        <v>15657390.421066299</v>
      </c>
      <c r="AT5">
        <v>3.8684138603141897E-2</v>
      </c>
      <c r="AU5" t="s">
        <v>154</v>
      </c>
      <c r="AV5">
        <v>840.42355363046897</v>
      </c>
      <c r="AW5">
        <v>887006.62221683201</v>
      </c>
    </row>
    <row r="6" spans="1:49">
      <c r="A6" t="s">
        <v>128</v>
      </c>
      <c r="B6" s="15">
        <v>0.243701950069632</v>
      </c>
      <c r="C6">
        <v>4.6016779371930898</v>
      </c>
      <c r="D6">
        <v>0.121516732130601</v>
      </c>
      <c r="E6">
        <v>0.33699683528093699</v>
      </c>
      <c r="F6">
        <v>2.02535259213944E-2</v>
      </c>
      <c r="G6">
        <v>0.45296112089291701</v>
      </c>
      <c r="H6" s="15">
        <v>0.28708984556285899</v>
      </c>
      <c r="I6">
        <v>0.94332541296859895</v>
      </c>
      <c r="J6">
        <v>0.165944071399106</v>
      </c>
      <c r="K6">
        <v>0.236278157086875</v>
      </c>
      <c r="L6">
        <v>2.1463329306927601E-2</v>
      </c>
      <c r="M6">
        <v>0.13667126743322799</v>
      </c>
      <c r="N6" s="15">
        <v>0.206300087211362</v>
      </c>
      <c r="O6">
        <v>0.99343356260319904</v>
      </c>
      <c r="P6">
        <v>0.115354059888712</v>
      </c>
      <c r="Q6">
        <v>0.29439664718455899</v>
      </c>
      <c r="R6">
        <v>2.1609072331995299E-2</v>
      </c>
      <c r="S6">
        <v>0.133756334945904</v>
      </c>
      <c r="T6" s="15">
        <v>0.14136515836647001</v>
      </c>
      <c r="U6">
        <v>0.86691488027262398</v>
      </c>
      <c r="V6">
        <v>6.3082574878427805E-2</v>
      </c>
      <c r="W6">
        <v>0.19217813522433</v>
      </c>
      <c r="X6">
        <v>2.0630468607572099E-2</v>
      </c>
      <c r="Y6">
        <v>0.13517982373549101</v>
      </c>
      <c r="Z6" s="15">
        <v>8.9692626784336399E-2</v>
      </c>
      <c r="AA6">
        <v>1.05441664389169</v>
      </c>
      <c r="AB6">
        <v>4.2413698173389698E-2</v>
      </c>
      <c r="AC6">
        <v>0.20335677742931699</v>
      </c>
      <c r="AD6" t="s">
        <v>154</v>
      </c>
      <c r="AE6">
        <v>0.13569640982466499</v>
      </c>
      <c r="AF6" s="15">
        <v>5.8924457430648696</v>
      </c>
      <c r="AG6">
        <v>2.29532551331521</v>
      </c>
      <c r="AH6">
        <v>2.7619763480577801</v>
      </c>
      <c r="AI6">
        <v>0.80128027108021604</v>
      </c>
      <c r="AJ6" t="s">
        <v>154</v>
      </c>
      <c r="AK6">
        <v>0.134588943356893</v>
      </c>
      <c r="AL6" s="15">
        <v>8.1124409456104593E-2</v>
      </c>
      <c r="AM6">
        <v>1.8511009512494001</v>
      </c>
      <c r="AN6">
        <v>3.86135268468384E-2</v>
      </c>
      <c r="AO6">
        <v>0.26881725615455798</v>
      </c>
      <c r="AP6">
        <v>28.779647181598001</v>
      </c>
      <c r="AQ6">
        <v>43.977388610626399</v>
      </c>
      <c r="AR6" s="15">
        <v>0.114931448528846</v>
      </c>
      <c r="AS6">
        <v>529767073.05960202</v>
      </c>
      <c r="AT6">
        <v>4.9460709488571598E-2</v>
      </c>
      <c r="AU6" t="s">
        <v>154</v>
      </c>
      <c r="AV6">
        <v>1365.9017050115699</v>
      </c>
      <c r="AW6">
        <v>148339323.50860101</v>
      </c>
    </row>
    <row r="7" spans="1:49">
      <c r="A7" t="s">
        <v>152</v>
      </c>
      <c r="B7" s="15">
        <v>0.112350135598698</v>
      </c>
      <c r="C7">
        <v>0.43540703289113297</v>
      </c>
      <c r="D7">
        <v>8.1706551121544194E-2</v>
      </c>
      <c r="E7">
        <v>0.24118526439124599</v>
      </c>
      <c r="F7">
        <v>9.7559090004999804E-3</v>
      </c>
      <c r="G7">
        <v>2.1208683358949099E-2</v>
      </c>
      <c r="H7" s="15">
        <v>0.10340307137827</v>
      </c>
      <c r="I7">
        <v>0.44929813922958201</v>
      </c>
      <c r="J7">
        <v>8.0418476835119795E-2</v>
      </c>
      <c r="K7">
        <v>0.25571021856033399</v>
      </c>
      <c r="L7">
        <v>9.9460575064857105E-3</v>
      </c>
      <c r="M7">
        <v>2.1343811800180999E-2</v>
      </c>
      <c r="N7" s="15">
        <v>0.17027398954026801</v>
      </c>
      <c r="O7">
        <v>0.27122691296116103</v>
      </c>
      <c r="P7">
        <v>0.12561676334204799</v>
      </c>
      <c r="Q7">
        <v>0.152351308027389</v>
      </c>
      <c r="R7">
        <v>1.03811556899975E-2</v>
      </c>
      <c r="S7">
        <v>2.0696416133748698E-2</v>
      </c>
      <c r="T7" s="15">
        <v>4.6930455100198602E-2</v>
      </c>
      <c r="U7">
        <v>0.629400075555692</v>
      </c>
      <c r="V7">
        <v>3.38813912923756E-2</v>
      </c>
      <c r="W7">
        <v>0.34862810882853101</v>
      </c>
      <c r="X7">
        <v>9.7736156263604403E-3</v>
      </c>
      <c r="Y7">
        <v>2.1106204638451E-2</v>
      </c>
      <c r="Z7" s="15">
        <v>3.6744767746431803E-2</v>
      </c>
      <c r="AA7">
        <v>0.47961479247884398</v>
      </c>
      <c r="AB7">
        <v>2.6576446182414198E-2</v>
      </c>
      <c r="AC7">
        <v>0.26937257629393002</v>
      </c>
      <c r="AD7" t="s">
        <v>154</v>
      </c>
      <c r="AE7">
        <v>2.1040579283946401E-2</v>
      </c>
      <c r="AF7" s="15">
        <v>19.876475282326801</v>
      </c>
      <c r="AG7">
        <v>6.9794744527301802</v>
      </c>
      <c r="AH7">
        <v>9.2249741498831099</v>
      </c>
      <c r="AI7">
        <v>2.96137711408866</v>
      </c>
      <c r="AJ7" t="s">
        <v>154</v>
      </c>
      <c r="AK7">
        <v>2.0670640996024201E-2</v>
      </c>
      <c r="AL7" s="15">
        <v>3.5662824230635402E-2</v>
      </c>
      <c r="AM7">
        <v>0.44681105162857998</v>
      </c>
      <c r="AN7">
        <v>2.5943971675581899E-2</v>
      </c>
      <c r="AO7">
        <v>0.25049246751257698</v>
      </c>
      <c r="AP7">
        <v>5.9998175308683104</v>
      </c>
      <c r="AQ7">
        <v>2.1714639713164798</v>
      </c>
      <c r="AR7" s="15">
        <v>3.4339178084719597E-2</v>
      </c>
      <c r="AS7" s="5">
        <v>4.0057323210989498E+32</v>
      </c>
      <c r="AT7">
        <v>2.53869840625865E-2</v>
      </c>
      <c r="AU7" t="s">
        <v>154</v>
      </c>
      <c r="AV7">
        <v>4.62452379689877</v>
      </c>
      <c r="AW7" s="5">
        <v>5.2421922799762499E+32</v>
      </c>
    </row>
    <row r="10" spans="1:49">
      <c r="O10" s="12" t="s">
        <v>155</v>
      </c>
    </row>
    <row r="13" spans="1:49">
      <c r="B13" s="6" t="str">
        <f>A2</f>
        <v>grocery_and_pharmacy_percent_change_from_baseline</v>
      </c>
    </row>
    <row r="15" spans="1:49">
      <c r="B15" s="6" t="s">
        <v>130</v>
      </c>
      <c r="C15" s="6"/>
      <c r="D15" s="6" t="s">
        <v>131</v>
      </c>
      <c r="E15" s="6"/>
      <c r="F15" s="6" t="s">
        <v>132</v>
      </c>
      <c r="I15" s="6"/>
      <c r="J15" s="6"/>
      <c r="K15" s="6"/>
      <c r="L15" s="6"/>
      <c r="M15" s="6"/>
      <c r="N15" s="6"/>
    </row>
    <row r="16" spans="1:49">
      <c r="A16" s="6" t="s">
        <v>135</v>
      </c>
      <c r="B16" s="6" t="s">
        <v>136</v>
      </c>
      <c r="C16" s="6" t="s">
        <v>137</v>
      </c>
      <c r="D16" s="6" t="s">
        <v>136</v>
      </c>
      <c r="E16" s="6" t="s">
        <v>137</v>
      </c>
      <c r="F16" s="6" t="s">
        <v>136</v>
      </c>
      <c r="G16" s="6" t="s">
        <v>137</v>
      </c>
      <c r="H16" s="6"/>
      <c r="I16" s="6"/>
    </row>
    <row r="17" spans="1:20">
      <c r="A17" s="6" t="s">
        <v>139</v>
      </c>
      <c r="B17" s="3">
        <f>B2</f>
        <v>2.3370693058512901</v>
      </c>
      <c r="C17" s="3">
        <f t="shared" ref="C17:G17" si="0">C2</f>
        <v>7.1596061962997304</v>
      </c>
      <c r="D17" s="3">
        <f t="shared" si="0"/>
        <v>0.82503046572586702</v>
      </c>
      <c r="E17" s="3">
        <f t="shared" si="0"/>
        <v>0.676508558069009</v>
      </c>
      <c r="F17" s="3">
        <f t="shared" si="0"/>
        <v>8.6558150642156703E-2</v>
      </c>
      <c r="G17" s="3">
        <f t="shared" si="0"/>
        <v>0.72244694157465394</v>
      </c>
      <c r="H17" s="3"/>
      <c r="I17" s="6"/>
      <c r="J17" s="3"/>
      <c r="K17" s="3"/>
      <c r="L17" s="6"/>
      <c r="M17" s="3"/>
      <c r="N17" s="3"/>
      <c r="O17" s="3"/>
    </row>
    <row r="18" spans="1:20">
      <c r="A18" s="6" t="s">
        <v>141</v>
      </c>
      <c r="B18" s="3">
        <f>H2</f>
        <v>1.96031429337079</v>
      </c>
      <c r="C18" s="3">
        <f t="shared" ref="C18:G18" si="1">I2</f>
        <v>5.2769975063664099</v>
      </c>
      <c r="D18" s="3">
        <f t="shared" si="1"/>
        <v>0.83017834869817098</v>
      </c>
      <c r="E18" s="3">
        <f t="shared" si="1"/>
        <v>2.2401012059190699</v>
      </c>
      <c r="F18" s="3">
        <f t="shared" si="1"/>
        <v>8.6047601225251097E-2</v>
      </c>
      <c r="G18" s="3">
        <f t="shared" si="1"/>
        <v>0.26811441964919303</v>
      </c>
      <c r="H18" s="3"/>
      <c r="I18" s="6"/>
      <c r="J18" s="3"/>
      <c r="K18" s="3"/>
      <c r="L18" s="3"/>
      <c r="M18" s="3"/>
      <c r="N18" s="3"/>
      <c r="O18" s="3"/>
    </row>
    <row r="19" spans="1:20">
      <c r="A19" s="7" t="s">
        <v>142</v>
      </c>
      <c r="B19" s="4">
        <f>N2</f>
        <v>0.53752582686975703</v>
      </c>
      <c r="C19" s="4">
        <f t="shared" ref="C19:G19" si="2">O2</f>
        <v>1.31336079580861</v>
      </c>
      <c r="D19" s="4">
        <f t="shared" si="2"/>
        <v>0.22347670528733199</v>
      </c>
      <c r="E19" s="4">
        <f t="shared" si="2"/>
        <v>0.227372293527043</v>
      </c>
      <c r="F19" s="4">
        <f t="shared" si="2"/>
        <v>8.4226341189587994E-2</v>
      </c>
      <c r="G19" s="4">
        <f t="shared" si="2"/>
        <v>0.238192011078045</v>
      </c>
      <c r="H19" s="4"/>
      <c r="I19" s="6"/>
      <c r="J19" s="3"/>
      <c r="K19" s="3"/>
      <c r="L19" s="3"/>
      <c r="M19" s="3"/>
      <c r="N19" s="3" t="str">
        <f>B13</f>
        <v>grocery_and_pharmacy_percent_change_from_baseline</v>
      </c>
      <c r="O19" s="3"/>
    </row>
    <row r="20" spans="1:20">
      <c r="A20" s="8" t="s">
        <v>143</v>
      </c>
      <c r="B20" s="9">
        <f>T2</f>
        <v>0.68736288982000104</v>
      </c>
      <c r="C20" s="9">
        <f t="shared" ref="C20:G20" si="3">U2</f>
        <v>4.6635592151015803</v>
      </c>
      <c r="D20" s="9">
        <f t="shared" si="3"/>
        <v>0.23369982935388001</v>
      </c>
      <c r="E20" s="9">
        <f t="shared" si="3"/>
        <v>0.68801154423984401</v>
      </c>
      <c r="F20" s="9">
        <f t="shared" si="3"/>
        <v>8.5872245662843696E-2</v>
      </c>
      <c r="G20" s="9">
        <f t="shared" si="3"/>
        <v>0.24366873223473101</v>
      </c>
      <c r="H20" s="9"/>
      <c r="I20" s="10"/>
      <c r="J20" s="10"/>
      <c r="K20" s="3"/>
      <c r="L20" s="3"/>
      <c r="M20" s="3"/>
      <c r="N20" s="3"/>
      <c r="O20" s="3"/>
    </row>
    <row r="21" spans="1:20">
      <c r="A21" s="6" t="s">
        <v>144</v>
      </c>
      <c r="B21" s="3">
        <f>Z2</f>
        <v>0.42480862878310099</v>
      </c>
      <c r="C21" s="3">
        <f t="shared" ref="C21:G21" si="4">AA2</f>
        <v>3.7249390060736398</v>
      </c>
      <c r="D21" s="3">
        <f t="shared" si="4"/>
        <v>0.14042445986204899</v>
      </c>
      <c r="E21" s="3">
        <f t="shared" si="4"/>
        <v>0.55640080179606899</v>
      </c>
      <c r="F21" s="3" t="str">
        <f t="shared" si="4"/>
        <v>inf</v>
      </c>
      <c r="G21" s="3">
        <f t="shared" si="4"/>
        <v>0.24790277821064299</v>
      </c>
      <c r="H21" s="3"/>
      <c r="K21" s="3"/>
      <c r="L21" s="3"/>
      <c r="M21" s="3"/>
      <c r="N21" s="3" t="s">
        <v>135</v>
      </c>
      <c r="O21" t="s">
        <v>130</v>
      </c>
      <c r="P21" s="3" t="s">
        <v>131</v>
      </c>
      <c r="Q21" t="s">
        <v>132</v>
      </c>
      <c r="R21" s="3" t="s">
        <v>156</v>
      </c>
      <c r="T21" s="3"/>
    </row>
    <row r="22" spans="1:20">
      <c r="A22" s="8" t="s">
        <v>145</v>
      </c>
      <c r="B22" s="9">
        <f>AF2</f>
        <v>0.75994269045013796</v>
      </c>
      <c r="C22" s="9">
        <f t="shared" ref="C22:G22" si="5">AG2</f>
        <v>2.8276493961513398</v>
      </c>
      <c r="D22" s="9">
        <f t="shared" si="5"/>
        <v>0.30011378547488399</v>
      </c>
      <c r="E22" s="9">
        <f t="shared" si="5"/>
        <v>0.49706853490296599</v>
      </c>
      <c r="F22" s="9" t="str">
        <f t="shared" si="5"/>
        <v>inf</v>
      </c>
      <c r="G22" s="9">
        <f t="shared" si="5"/>
        <v>0.24294250229275599</v>
      </c>
      <c r="H22" s="9"/>
      <c r="I22" s="10"/>
      <c r="J22" s="10"/>
      <c r="K22" s="3"/>
      <c r="L22" s="3"/>
      <c r="M22" s="3"/>
      <c r="N22" s="3" t="s">
        <v>142</v>
      </c>
      <c r="O22" s="3">
        <f>C19</f>
        <v>1.31336079580861</v>
      </c>
      <c r="P22" s="3">
        <f>E19</f>
        <v>0.227372293527043</v>
      </c>
      <c r="Q22" s="3">
        <f>G19</f>
        <v>0.238192011078045</v>
      </c>
      <c r="R22" s="3">
        <v>0.51485085400099662</v>
      </c>
      <c r="T22" s="3"/>
    </row>
    <row r="23" spans="1:20">
      <c r="A23" s="6" t="s">
        <v>146</v>
      </c>
      <c r="B23" s="3">
        <f>AL2</f>
        <v>0.38848496291839701</v>
      </c>
      <c r="C23" s="3">
        <f t="shared" ref="C23:G23" si="6">AM2</f>
        <v>4.5063184489505401</v>
      </c>
      <c r="D23" s="3">
        <f t="shared" si="6"/>
        <v>0.132490743224044</v>
      </c>
      <c r="E23" s="3">
        <f t="shared" si="6"/>
        <v>0.52635244456704999</v>
      </c>
      <c r="F23" s="3">
        <f t="shared" si="6"/>
        <v>63.408302990361499</v>
      </c>
      <c r="G23" s="3">
        <f t="shared" si="6"/>
        <v>51.187083114019401</v>
      </c>
      <c r="H23" s="3"/>
      <c r="I23" s="6"/>
      <c r="J23" s="3"/>
      <c r="K23" s="3"/>
      <c r="L23" s="3"/>
      <c r="N23" s="3" t="s">
        <v>147</v>
      </c>
      <c r="O23" s="3">
        <f>C20</f>
        <v>4.6635592151015803</v>
      </c>
      <c r="P23" s="3">
        <f>E20</f>
        <v>0.68801154423984401</v>
      </c>
      <c r="Q23" s="3">
        <f>G20</f>
        <v>0.24366873223473101</v>
      </c>
      <c r="R23" s="3">
        <v>2.1951621430119062</v>
      </c>
      <c r="T23" s="3"/>
    </row>
    <row r="24" spans="1:20">
      <c r="A24" s="6" t="s">
        <v>148</v>
      </c>
      <c r="B24" s="3">
        <f>AR2</f>
        <v>0.33702765082154101</v>
      </c>
      <c r="C24" s="3">
        <f t="shared" ref="C24:G24" si="7">AS2</f>
        <v>3.4757782898035798E+25</v>
      </c>
      <c r="D24" s="3">
        <f t="shared" si="7"/>
        <v>0.13207257072916201</v>
      </c>
      <c r="E24" s="3" t="str">
        <f t="shared" si="7"/>
        <v>inf</v>
      </c>
      <c r="F24" s="3">
        <f t="shared" si="7"/>
        <v>4450.1679332178401</v>
      </c>
      <c r="G24" s="3">
        <f t="shared" si="7"/>
        <v>6.2743252747920198E+25</v>
      </c>
      <c r="H24" s="3"/>
      <c r="I24" s="6"/>
      <c r="J24" s="3"/>
      <c r="K24" s="3"/>
      <c r="L24" s="3"/>
      <c r="M24" s="3"/>
      <c r="N24" t="s">
        <v>145</v>
      </c>
      <c r="O24" s="3">
        <f>C22</f>
        <v>2.8276493961513398</v>
      </c>
      <c r="P24" s="3">
        <f>E22</f>
        <v>0.49706853490296599</v>
      </c>
      <c r="Q24" s="3">
        <f>G22</f>
        <v>0.24294250229275599</v>
      </c>
      <c r="R24" s="3">
        <v>1.7230112602853647</v>
      </c>
      <c r="T24" s="3"/>
    </row>
    <row r="25" spans="1:20">
      <c r="N25" s="3" t="s">
        <v>144</v>
      </c>
      <c r="O25" s="3">
        <f>C21</f>
        <v>3.7249390060736398</v>
      </c>
      <c r="P25" s="3">
        <f>E21</f>
        <v>0.55640080179606899</v>
      </c>
      <c r="Q25" s="3">
        <f>G21</f>
        <v>0.24790277821064299</v>
      </c>
      <c r="R25" s="3">
        <v>2.1054203924689823</v>
      </c>
      <c r="T25" s="3"/>
    </row>
    <row r="28" spans="1:20">
      <c r="B28" s="6" t="str">
        <f>A3</f>
        <v>parks_percent_change_from_baseline</v>
      </c>
    </row>
    <row r="30" spans="1:20">
      <c r="B30" s="6" t="s">
        <v>130</v>
      </c>
      <c r="C30" s="6"/>
      <c r="D30" s="6" t="s">
        <v>131</v>
      </c>
      <c r="E30" s="6"/>
      <c r="F30" s="6" t="s">
        <v>132</v>
      </c>
      <c r="I30" s="6"/>
      <c r="J30" s="6"/>
    </row>
    <row r="31" spans="1:20">
      <c r="A31" s="6" t="s">
        <v>135</v>
      </c>
      <c r="B31" s="6" t="s">
        <v>136</v>
      </c>
      <c r="C31" s="6" t="s">
        <v>137</v>
      </c>
      <c r="D31" s="6" t="s">
        <v>136</v>
      </c>
      <c r="E31" s="6" t="s">
        <v>137</v>
      </c>
      <c r="F31" s="6" t="s">
        <v>136</v>
      </c>
      <c r="G31" s="6" t="s">
        <v>137</v>
      </c>
      <c r="H31" s="6"/>
      <c r="I31" s="6"/>
      <c r="N31" s="3"/>
      <c r="P31" s="3"/>
    </row>
    <row r="32" spans="1:20">
      <c r="A32" s="6" t="s">
        <v>139</v>
      </c>
      <c r="B32" s="3">
        <f>B3</f>
        <v>7.99457753178151</v>
      </c>
      <c r="C32" s="3">
        <f t="shared" ref="C32:G32" si="8">C3</f>
        <v>30.908202076935499</v>
      </c>
      <c r="D32" s="3">
        <f t="shared" si="8"/>
        <v>1.6247228178853701</v>
      </c>
      <c r="E32" s="3">
        <f t="shared" si="8"/>
        <v>2.3312172046658</v>
      </c>
      <c r="F32" s="3">
        <f t="shared" si="8"/>
        <v>44.5182437425728</v>
      </c>
      <c r="G32" s="3">
        <f t="shared" si="8"/>
        <v>19485.3551753584</v>
      </c>
      <c r="H32" s="3"/>
      <c r="I32" s="6"/>
      <c r="J32" s="3"/>
      <c r="N32" s="3"/>
      <c r="O32" s="3"/>
      <c r="P32" s="11"/>
      <c r="Q32" s="13"/>
    </row>
    <row r="33" spans="1:20">
      <c r="A33" s="6" t="s">
        <v>141</v>
      </c>
      <c r="B33" s="3">
        <f>H3</f>
        <v>6.0789079127473098</v>
      </c>
      <c r="C33" s="3">
        <f t="shared" ref="C33:G33" si="9">I3</f>
        <v>28.8920721386162</v>
      </c>
      <c r="D33" s="3">
        <f t="shared" si="9"/>
        <v>1.4002450686835599</v>
      </c>
      <c r="E33" s="3">
        <f t="shared" si="9"/>
        <v>1.22026430056498</v>
      </c>
      <c r="F33" s="3">
        <f t="shared" si="9"/>
        <v>23.215878765092501</v>
      </c>
      <c r="G33" s="3">
        <f t="shared" si="9"/>
        <v>45.9825409722553</v>
      </c>
      <c r="H33" s="3"/>
      <c r="I33" s="6"/>
      <c r="J33" s="3"/>
      <c r="N33" s="3"/>
      <c r="O33" s="3"/>
      <c r="P33" s="11"/>
      <c r="Q33" s="13"/>
    </row>
    <row r="34" spans="1:20">
      <c r="A34" s="7" t="s">
        <v>142</v>
      </c>
      <c r="B34" s="4">
        <f>N3</f>
        <v>5.5769981580278101</v>
      </c>
      <c r="C34" s="4">
        <f t="shared" ref="C34:G34" si="10">O3</f>
        <v>26.318433109229101</v>
      </c>
      <c r="D34" s="4">
        <f t="shared" si="10"/>
        <v>1.0472486700997199</v>
      </c>
      <c r="E34" s="4">
        <f t="shared" si="10"/>
        <v>0.99607639685170601</v>
      </c>
      <c r="F34" s="4">
        <f t="shared" si="10"/>
        <v>1.6077837411913101</v>
      </c>
      <c r="G34" s="4">
        <f t="shared" si="10"/>
        <v>4.27296166931849</v>
      </c>
      <c r="H34" s="4"/>
      <c r="I34" s="6"/>
      <c r="J34" s="3"/>
      <c r="N34" s="3" t="str">
        <f>B28</f>
        <v>parks_percent_change_from_baseline</v>
      </c>
      <c r="P34" s="3"/>
    </row>
    <row r="35" spans="1:20">
      <c r="A35" s="8" t="s">
        <v>143</v>
      </c>
      <c r="B35" s="9">
        <f>T3</f>
        <v>6.2034976286789298</v>
      </c>
      <c r="C35" s="9">
        <f t="shared" ref="C35:G35" si="11">U3</f>
        <v>26.553793182393701</v>
      </c>
      <c r="D35" s="9">
        <f t="shared" si="11"/>
        <v>1.12863811683099</v>
      </c>
      <c r="E35" s="9">
        <f t="shared" si="11"/>
        <v>1.0171924188026999</v>
      </c>
      <c r="F35" s="9">
        <f t="shared" si="11"/>
        <v>1.6080445750657799</v>
      </c>
      <c r="G35" s="9">
        <f t="shared" si="11"/>
        <v>4.2789280213060996</v>
      </c>
      <c r="H35" s="9"/>
      <c r="I35" s="10"/>
      <c r="J35" s="10"/>
      <c r="N35" s="3"/>
      <c r="O35" s="3"/>
      <c r="P35" s="11"/>
      <c r="Q35" s="13"/>
    </row>
    <row r="36" spans="1:20">
      <c r="A36" s="6" t="s">
        <v>144</v>
      </c>
      <c r="B36" s="3">
        <f>Z3</f>
        <v>4.7853605433517403</v>
      </c>
      <c r="C36" s="3">
        <f t="shared" ref="C36:G36" si="12">AA3</f>
        <v>97.095371837937094</v>
      </c>
      <c r="D36" s="3">
        <f t="shared" si="12"/>
        <v>0.875279010839497</v>
      </c>
      <c r="E36" s="3">
        <f t="shared" si="12"/>
        <v>1.09766669629155</v>
      </c>
      <c r="F36" s="3" t="str">
        <f t="shared" si="12"/>
        <v>inf</v>
      </c>
      <c r="G36" s="3">
        <f t="shared" si="12"/>
        <v>4.41964715513308</v>
      </c>
      <c r="H36" s="3"/>
      <c r="N36" s="3" t="s">
        <v>135</v>
      </c>
      <c r="O36" t="s">
        <v>130</v>
      </c>
      <c r="P36" s="3" t="s">
        <v>131</v>
      </c>
      <c r="Q36" t="s">
        <v>132</v>
      </c>
      <c r="R36" s="3" t="s">
        <v>156</v>
      </c>
      <c r="T36" s="3"/>
    </row>
    <row r="37" spans="1:20">
      <c r="A37" s="8" t="s">
        <v>145</v>
      </c>
      <c r="B37" s="9">
        <f>AF3</f>
        <v>5.0762443485114401</v>
      </c>
      <c r="C37" s="9">
        <f t="shared" ref="C37:G37" si="13">AG3</f>
        <v>32.2377945600931</v>
      </c>
      <c r="D37" s="9">
        <f t="shared" si="13"/>
        <v>0.87787732080636705</v>
      </c>
      <c r="E37" s="9">
        <f t="shared" si="13"/>
        <v>1.0409660613057601</v>
      </c>
      <c r="F37" s="9" t="str">
        <f t="shared" si="13"/>
        <v>inf</v>
      </c>
      <c r="G37" s="9">
        <f t="shared" si="13"/>
        <v>4.2847446867861603</v>
      </c>
      <c r="H37" s="9"/>
      <c r="I37" s="10"/>
      <c r="J37" s="10"/>
      <c r="N37" s="3" t="s">
        <v>142</v>
      </c>
      <c r="O37" s="14">
        <f>C34</f>
        <v>26.318433109229101</v>
      </c>
      <c r="P37" s="3">
        <f>E34</f>
        <v>0.99607639685170601</v>
      </c>
      <c r="Q37" s="3">
        <f>G34</f>
        <v>4.27296166931849</v>
      </c>
      <c r="R37" s="3">
        <v>2.0807659892769643</v>
      </c>
      <c r="T37" s="3"/>
    </row>
    <row r="38" spans="1:20">
      <c r="A38" s="6" t="s">
        <v>146</v>
      </c>
      <c r="B38" s="3">
        <f>AL3</f>
        <v>4.66746722020389</v>
      </c>
      <c r="C38" s="3">
        <f t="shared" ref="C38:G38" si="14">AM3</f>
        <v>322.61950129412003</v>
      </c>
      <c r="D38" s="3">
        <f t="shared" si="14"/>
        <v>0.84614677431813701</v>
      </c>
      <c r="E38" s="3">
        <f t="shared" si="14"/>
        <v>1.2107045798349101</v>
      </c>
      <c r="F38" s="3">
        <f t="shared" si="14"/>
        <v>403.30338427984799</v>
      </c>
      <c r="G38" s="3">
        <f t="shared" si="14"/>
        <v>12514.842388582299</v>
      </c>
      <c r="H38" s="3"/>
      <c r="I38" s="6"/>
      <c r="J38" s="3"/>
      <c r="N38" s="3" t="s">
        <v>147</v>
      </c>
      <c r="O38" s="14">
        <f>C35</f>
        <v>26.553793182393701</v>
      </c>
      <c r="P38" s="3">
        <f>E35</f>
        <v>1.0171924188026999</v>
      </c>
      <c r="Q38" s="3">
        <f>G35</f>
        <v>4.2789280213060996</v>
      </c>
      <c r="R38" s="3">
        <v>2.3106380879634596</v>
      </c>
      <c r="T38" s="3"/>
    </row>
    <row r="39" spans="1:20">
      <c r="A39" s="6" t="s">
        <v>148</v>
      </c>
      <c r="B39" s="3">
        <f>AR3</f>
        <v>5.9061288388826698</v>
      </c>
      <c r="C39" s="3" t="str">
        <f t="shared" ref="C39:G39" si="15">AS3</f>
        <v>inf</v>
      </c>
      <c r="D39" s="3">
        <f t="shared" si="15"/>
        <v>1.0879135061421501</v>
      </c>
      <c r="E39" s="3" t="str">
        <f t="shared" si="15"/>
        <v>inf</v>
      </c>
      <c r="F39" s="3">
        <f t="shared" si="15"/>
        <v>3578.78561751506</v>
      </c>
      <c r="G39" s="3">
        <f t="shared" si="15"/>
        <v>5.55804730627122E+51</v>
      </c>
      <c r="H39" s="3"/>
      <c r="I39" s="6"/>
      <c r="J39" s="3"/>
      <c r="N39" t="s">
        <v>145</v>
      </c>
      <c r="O39" s="14">
        <f>C37</f>
        <v>32.2377945600931</v>
      </c>
      <c r="P39" s="3">
        <f>E37</f>
        <v>1.0409660613057601</v>
      </c>
      <c r="Q39" s="3">
        <f>G37</f>
        <v>4.2847446867861603</v>
      </c>
      <c r="R39" s="3">
        <v>2.5077569984086354</v>
      </c>
      <c r="T39" s="3"/>
    </row>
    <row r="40" spans="1:20">
      <c r="N40" s="3" t="s">
        <v>144</v>
      </c>
      <c r="O40" s="14">
        <f>C36</f>
        <v>97.095371837937094</v>
      </c>
      <c r="P40" s="3">
        <f>E36</f>
        <v>1.09766669629155</v>
      </c>
      <c r="Q40" s="3">
        <f>G36</f>
        <v>4.41964715513308</v>
      </c>
      <c r="R40" s="3">
        <v>2.9316067161686856</v>
      </c>
      <c r="T40" s="3"/>
    </row>
    <row r="43" spans="1:20">
      <c r="B43" s="6" t="str">
        <f>A4</f>
        <v>residential_percent_change_from_baseline</v>
      </c>
    </row>
    <row r="45" spans="1:20">
      <c r="B45" s="6" t="s">
        <v>130</v>
      </c>
      <c r="C45" s="6"/>
      <c r="D45" s="6" t="s">
        <v>131</v>
      </c>
      <c r="E45" s="6"/>
      <c r="F45" s="6" t="s">
        <v>132</v>
      </c>
      <c r="I45" s="6"/>
      <c r="J45" s="6"/>
    </row>
    <row r="46" spans="1:20">
      <c r="A46" s="6" t="s">
        <v>135</v>
      </c>
      <c r="B46" s="6" t="s">
        <v>136</v>
      </c>
      <c r="C46" s="6" t="s">
        <v>137</v>
      </c>
      <c r="D46" s="6" t="s">
        <v>136</v>
      </c>
      <c r="E46" s="6" t="s">
        <v>137</v>
      </c>
      <c r="F46" s="6" t="s">
        <v>136</v>
      </c>
      <c r="G46" s="6" t="s">
        <v>137</v>
      </c>
      <c r="H46" s="6"/>
      <c r="I46" s="6"/>
    </row>
    <row r="47" spans="1:20">
      <c r="A47" s="6" t="s">
        <v>139</v>
      </c>
      <c r="B47" s="3">
        <f>B4</f>
        <v>182.017752605288</v>
      </c>
      <c r="C47" s="3">
        <f t="shared" ref="C47:G47" si="16">C4</f>
        <v>58.679155010516602</v>
      </c>
      <c r="D47" s="3">
        <f t="shared" si="16"/>
        <v>12.668830065167301</v>
      </c>
      <c r="E47" s="3">
        <f t="shared" si="16"/>
        <v>3.4263871538421302</v>
      </c>
      <c r="F47" s="3">
        <f t="shared" si="16"/>
        <v>2.9946737302391</v>
      </c>
      <c r="G47" s="3">
        <f t="shared" si="16"/>
        <v>259.64212570057799</v>
      </c>
      <c r="H47" s="3"/>
      <c r="I47" s="6"/>
      <c r="J47" s="3"/>
    </row>
    <row r="48" spans="1:20">
      <c r="A48" s="6" t="s">
        <v>141</v>
      </c>
      <c r="B48" s="3">
        <f>H4</f>
        <v>172.273616850368</v>
      </c>
      <c r="C48" s="3">
        <f t="shared" ref="C48:G48" si="17">I4</f>
        <v>113.08339054707</v>
      </c>
      <c r="D48" s="3">
        <f t="shared" si="17"/>
        <v>11.6427162127799</v>
      </c>
      <c r="E48" s="3">
        <f t="shared" si="17"/>
        <v>4.1023806127870399</v>
      </c>
      <c r="F48" s="3">
        <f t="shared" si="17"/>
        <v>3.1858584538517398</v>
      </c>
      <c r="G48" s="3">
        <f t="shared" si="17"/>
        <v>6.4695050231894902</v>
      </c>
      <c r="H48" s="3"/>
      <c r="I48" s="6"/>
      <c r="J48" s="3"/>
    </row>
    <row r="49" spans="1:20">
      <c r="A49" s="7" t="s">
        <v>142</v>
      </c>
      <c r="B49" s="4">
        <f>N4</f>
        <v>35.642457276864803</v>
      </c>
      <c r="C49" s="4">
        <f t="shared" ref="C49:G49" si="18">O4</f>
        <v>58.933718147243603</v>
      </c>
      <c r="D49" s="4">
        <f t="shared" si="18"/>
        <v>1.4381331154633501</v>
      </c>
      <c r="E49" s="4">
        <f t="shared" si="18"/>
        <v>3.68027685016474</v>
      </c>
      <c r="F49" s="4">
        <f t="shared" si="18"/>
        <v>2.7308563639649899</v>
      </c>
      <c r="G49" s="4">
        <f t="shared" si="18"/>
        <v>7.4721340594990193E-2</v>
      </c>
      <c r="H49" s="4"/>
      <c r="I49" s="6"/>
      <c r="J49" s="3"/>
      <c r="N49" s="3" t="str">
        <f>B43</f>
        <v>residential_percent_change_from_baseline</v>
      </c>
    </row>
    <row r="50" spans="1:20">
      <c r="A50" s="8" t="s">
        <v>143</v>
      </c>
      <c r="B50" s="9">
        <f>T4</f>
        <v>88.0665871256695</v>
      </c>
      <c r="C50" s="9">
        <f t="shared" ref="C50:G50" si="19">U4</f>
        <v>229.78849679208901</v>
      </c>
      <c r="D50" s="9">
        <f t="shared" si="19"/>
        <v>2.42545403091769</v>
      </c>
      <c r="E50" s="9">
        <f t="shared" si="19"/>
        <v>5.6587850471022696</v>
      </c>
      <c r="F50" s="9">
        <f t="shared" si="19"/>
        <v>2.9898313721746201</v>
      </c>
      <c r="G50" s="9">
        <f t="shared" si="19"/>
        <v>0.17129668111371801</v>
      </c>
      <c r="H50" s="9"/>
      <c r="I50" s="10"/>
      <c r="J50" s="10"/>
    </row>
    <row r="51" spans="1:20">
      <c r="A51" s="6" t="s">
        <v>144</v>
      </c>
      <c r="B51" s="3">
        <f>Z4</f>
        <v>64.145196683533598</v>
      </c>
      <c r="C51" s="3">
        <f t="shared" ref="C51:G51" si="20">AA4</f>
        <v>84.463777011437202</v>
      </c>
      <c r="D51" s="3">
        <f t="shared" si="20"/>
        <v>4.53818600123466</v>
      </c>
      <c r="E51" s="3">
        <f t="shared" si="20"/>
        <v>3.9708064766422799</v>
      </c>
      <c r="F51" s="3" t="str">
        <f t="shared" si="20"/>
        <v>inf</v>
      </c>
      <c r="G51" s="3">
        <f t="shared" si="20"/>
        <v>9.2249896261099806E-2</v>
      </c>
      <c r="H51" s="3"/>
      <c r="N51" s="3" t="s">
        <v>135</v>
      </c>
      <c r="O51" t="s">
        <v>130</v>
      </c>
      <c r="P51" s="3" t="s">
        <v>131</v>
      </c>
      <c r="Q51" t="s">
        <v>132</v>
      </c>
      <c r="R51" s="3" t="s">
        <v>156</v>
      </c>
      <c r="T51" s="3"/>
    </row>
    <row r="52" spans="1:20">
      <c r="A52" s="8" t="s">
        <v>145</v>
      </c>
      <c r="B52" s="9">
        <f>AF4</f>
        <v>55.838130967500902</v>
      </c>
      <c r="C52" s="9">
        <f t="shared" ref="C52:G52" si="21">AG4</f>
        <v>93.201786102013898</v>
      </c>
      <c r="D52" s="9">
        <f t="shared" si="21"/>
        <v>3.51922205069808</v>
      </c>
      <c r="E52" s="9">
        <f t="shared" si="21"/>
        <v>4.3967274397608902</v>
      </c>
      <c r="F52" s="9" t="str">
        <f t="shared" si="21"/>
        <v>inf</v>
      </c>
      <c r="G52" s="9">
        <f t="shared" si="21"/>
        <v>8.9335595764890294E-2</v>
      </c>
      <c r="H52" s="9"/>
      <c r="I52" s="10"/>
      <c r="J52" s="10"/>
      <c r="N52" s="3" t="s">
        <v>142</v>
      </c>
      <c r="O52" s="14">
        <f>C49</f>
        <v>58.933718147243603</v>
      </c>
      <c r="P52" s="3">
        <f>E49</f>
        <v>3.68027685016474</v>
      </c>
      <c r="Q52" s="3">
        <f>G49</f>
        <v>7.4721340594990193E-2</v>
      </c>
      <c r="R52" s="3">
        <v>10.168614256479389</v>
      </c>
      <c r="T52" s="3"/>
    </row>
    <row r="53" spans="1:20">
      <c r="A53" s="6" t="s">
        <v>146</v>
      </c>
      <c r="B53" s="3">
        <f>AL4</f>
        <v>46.972053974066299</v>
      </c>
      <c r="C53" s="3">
        <f t="shared" ref="C53:G53" si="22">AM4</f>
        <v>58.499956537232897</v>
      </c>
      <c r="D53" s="3">
        <f t="shared" si="22"/>
        <v>3.39441797038263</v>
      </c>
      <c r="E53" s="3">
        <f t="shared" si="22"/>
        <v>3.6589279428486399</v>
      </c>
      <c r="F53" s="3">
        <f t="shared" si="22"/>
        <v>1227.59742031992</v>
      </c>
      <c r="G53" s="3">
        <f t="shared" si="22"/>
        <v>0.62278138649517201</v>
      </c>
      <c r="H53" s="3"/>
      <c r="I53" s="6"/>
      <c r="J53" s="3"/>
      <c r="N53" s="3" t="s">
        <v>147</v>
      </c>
      <c r="O53" s="14">
        <f>C50</f>
        <v>229.78849679208901</v>
      </c>
      <c r="P53" s="3">
        <f>E50</f>
        <v>5.6587850471022696</v>
      </c>
      <c r="Q53" s="3">
        <f>G50</f>
        <v>0.17129668111371801</v>
      </c>
      <c r="R53" s="3">
        <v>15.156721050414681</v>
      </c>
      <c r="T53" s="3"/>
    </row>
    <row r="54" spans="1:20">
      <c r="A54" s="6" t="s">
        <v>148</v>
      </c>
      <c r="B54" s="3">
        <f>AR4</f>
        <v>22.483067946348001</v>
      </c>
      <c r="C54" s="3">
        <f t="shared" ref="C54:G54" si="23">AS4</f>
        <v>969.01025117715301</v>
      </c>
      <c r="D54" s="3">
        <f t="shared" si="23"/>
        <v>2.5437612695478702</v>
      </c>
      <c r="E54" s="3">
        <f t="shared" si="23"/>
        <v>6896631068839880</v>
      </c>
      <c r="F54" s="3">
        <f t="shared" si="23"/>
        <v>2.8120966291262199</v>
      </c>
      <c r="G54" s="3">
        <f t="shared" si="23"/>
        <v>3.9567259090236502</v>
      </c>
      <c r="H54" s="3"/>
      <c r="I54" s="6"/>
      <c r="J54" s="3"/>
      <c r="N54" t="s">
        <v>145</v>
      </c>
      <c r="O54" s="14">
        <f>C52</f>
        <v>93.201786102013898</v>
      </c>
      <c r="P54" s="3">
        <f>E52</f>
        <v>4.3967274397608902</v>
      </c>
      <c r="Q54" s="3">
        <f>G52</f>
        <v>8.9335595764890294E-2</v>
      </c>
      <c r="R54" s="3">
        <v>12.169522695762275</v>
      </c>
      <c r="T54" s="3"/>
    </row>
    <row r="55" spans="1:20">
      <c r="N55" s="3" t="s">
        <v>144</v>
      </c>
      <c r="O55" s="14">
        <f>C51</f>
        <v>84.463777011437202</v>
      </c>
      <c r="P55" s="3">
        <f>E51</f>
        <v>3.9708064766422799</v>
      </c>
      <c r="Q55" s="3">
        <f>G51</f>
        <v>9.2249896261099806E-2</v>
      </c>
      <c r="R55" s="3">
        <v>11.306810144531019</v>
      </c>
      <c r="T55" s="3"/>
    </row>
    <row r="57" spans="1:20">
      <c r="B57" s="6" t="str">
        <f>A5</f>
        <v>retail_and_recreation_percent_change_from_baseline</v>
      </c>
    </row>
    <row r="59" spans="1:20">
      <c r="B59" s="6" t="s">
        <v>130</v>
      </c>
      <c r="C59" s="6"/>
      <c r="D59" s="6" t="s">
        <v>131</v>
      </c>
      <c r="E59" s="6"/>
      <c r="F59" s="6" t="s">
        <v>132</v>
      </c>
      <c r="I59" s="6"/>
      <c r="J59" s="6"/>
    </row>
    <row r="60" spans="1:20">
      <c r="A60" s="6" t="s">
        <v>135</v>
      </c>
      <c r="B60" s="6" t="s">
        <v>136</v>
      </c>
      <c r="C60" s="6" t="s">
        <v>137</v>
      </c>
      <c r="D60" s="6" t="s">
        <v>136</v>
      </c>
      <c r="E60" s="6" t="s">
        <v>137</v>
      </c>
      <c r="F60" s="6" t="s">
        <v>136</v>
      </c>
      <c r="G60" s="6" t="s">
        <v>137</v>
      </c>
      <c r="H60" s="6"/>
      <c r="I60" s="6"/>
    </row>
    <row r="61" spans="1:20">
      <c r="A61" s="6" t="s">
        <v>139</v>
      </c>
      <c r="B61" s="3">
        <f>B5</f>
        <v>0.51748131124983798</v>
      </c>
      <c r="C61" s="3">
        <f t="shared" ref="C61:G61" si="24">C5</f>
        <v>1.4565132221453501</v>
      </c>
      <c r="D61" s="3">
        <f t="shared" si="24"/>
        <v>0.243763984616581</v>
      </c>
      <c r="E61" s="3">
        <f t="shared" si="24"/>
        <v>0.30571476474190001</v>
      </c>
      <c r="F61" s="3">
        <f t="shared" si="24"/>
        <v>1.25551666632297E-2</v>
      </c>
      <c r="G61" s="3">
        <f t="shared" si="24"/>
        <v>1.9251516148416501E-2</v>
      </c>
      <c r="H61" s="3"/>
      <c r="I61" s="6"/>
      <c r="J61" s="3"/>
    </row>
    <row r="62" spans="1:20">
      <c r="A62" s="6" t="s">
        <v>141</v>
      </c>
      <c r="B62" s="3">
        <f>H5</f>
        <v>0.475111018613878</v>
      </c>
      <c r="C62" s="3">
        <f t="shared" ref="C62:G62" si="25">I5</f>
        <v>1.1512566776795801</v>
      </c>
      <c r="D62" s="3">
        <f t="shared" si="25"/>
        <v>0.26417463034843403</v>
      </c>
      <c r="E62" s="3">
        <f t="shared" si="25"/>
        <v>0.32469974914120497</v>
      </c>
      <c r="F62" s="3">
        <f t="shared" si="25"/>
        <v>1.3669285308539199E-2</v>
      </c>
      <c r="G62" s="3">
        <f t="shared" si="25"/>
        <v>1.8386899921557901E-2</v>
      </c>
      <c r="H62" s="3"/>
      <c r="I62" s="6"/>
      <c r="J62" s="3"/>
    </row>
    <row r="63" spans="1:20">
      <c r="A63" s="7" t="s">
        <v>142</v>
      </c>
      <c r="B63" s="4">
        <f>N5</f>
        <v>0.171729746997587</v>
      </c>
      <c r="C63" s="4">
        <f t="shared" ref="C63:G63" si="26">O5</f>
        <v>0.57522830495219202</v>
      </c>
      <c r="D63" s="4">
        <f t="shared" si="26"/>
        <v>9.9329169312189103E-2</v>
      </c>
      <c r="E63" s="4">
        <f t="shared" si="26"/>
        <v>0.24271149528809199</v>
      </c>
      <c r="F63" s="4">
        <f t="shared" si="26"/>
        <v>1.28443200184297E-2</v>
      </c>
      <c r="G63" s="4">
        <f t="shared" si="26"/>
        <v>1.4356699190685499E-2</v>
      </c>
      <c r="H63" s="4"/>
      <c r="I63" s="6"/>
      <c r="J63" s="3"/>
      <c r="N63" s="3" t="str">
        <f>B57</f>
        <v>retail_and_recreation_percent_change_from_baseline</v>
      </c>
    </row>
    <row r="64" spans="1:20">
      <c r="A64" s="8" t="s">
        <v>143</v>
      </c>
      <c r="B64" s="9">
        <f>T5</f>
        <v>0.137972222168909</v>
      </c>
      <c r="C64" s="9">
        <f t="shared" ref="C64:G64" si="27">U5</f>
        <v>1.4622672252439</v>
      </c>
      <c r="D64" s="9">
        <f t="shared" si="27"/>
        <v>6.6504321702892694E-2</v>
      </c>
      <c r="E64" s="9">
        <f t="shared" si="27"/>
        <v>0.33158020569722102</v>
      </c>
      <c r="F64" s="9">
        <f t="shared" si="27"/>
        <v>1.24095388213653E-2</v>
      </c>
      <c r="G64" s="9">
        <f t="shared" si="27"/>
        <v>1.6092092865717E-2</v>
      </c>
      <c r="H64" s="9"/>
      <c r="I64" s="10"/>
      <c r="J64" s="10"/>
      <c r="R64" s="3"/>
    </row>
    <row r="65" spans="1:20">
      <c r="A65" s="6" t="s">
        <v>144</v>
      </c>
      <c r="B65" s="3">
        <f>Z5</f>
        <v>7.1809784867033002E-2</v>
      </c>
      <c r="C65" s="3">
        <f t="shared" ref="C65:G65" si="28">AA5</f>
        <v>1.1091183167165499</v>
      </c>
      <c r="D65" s="3">
        <f t="shared" si="28"/>
        <v>3.3176979518191603E-2</v>
      </c>
      <c r="E65" s="3">
        <f t="shared" si="28"/>
        <v>0.25307432785373402</v>
      </c>
      <c r="F65" s="3" t="str">
        <f t="shared" si="28"/>
        <v>inf</v>
      </c>
      <c r="G65" s="3">
        <f t="shared" si="28"/>
        <v>1.5863749737441899E-2</v>
      </c>
      <c r="H65" s="3"/>
      <c r="N65" s="3" t="s">
        <v>135</v>
      </c>
      <c r="O65" t="s">
        <v>130</v>
      </c>
      <c r="P65" s="3" t="s">
        <v>131</v>
      </c>
      <c r="Q65" t="s">
        <v>132</v>
      </c>
      <c r="R65" s="3" t="s">
        <v>156</v>
      </c>
      <c r="T65" s="3"/>
    </row>
    <row r="66" spans="1:20">
      <c r="A66" s="8" t="s">
        <v>145</v>
      </c>
      <c r="B66" s="9">
        <f>AF5</f>
        <v>2.05761157272496</v>
      </c>
      <c r="C66" s="9">
        <f t="shared" ref="C66:G66" si="29">AG5</f>
        <v>1.31683308753814</v>
      </c>
      <c r="D66" s="9">
        <f t="shared" si="29"/>
        <v>0.971800940561519</v>
      </c>
      <c r="E66" s="9">
        <f t="shared" si="29"/>
        <v>0.409448316410985</v>
      </c>
      <c r="F66" s="9" t="str">
        <f t="shared" si="29"/>
        <v>inf</v>
      </c>
      <c r="G66" s="9">
        <f t="shared" si="29"/>
        <v>1.522655488698E-2</v>
      </c>
      <c r="H66" s="9"/>
      <c r="I66" s="10"/>
      <c r="J66" s="10"/>
      <c r="N66" s="3" t="s">
        <v>142</v>
      </c>
      <c r="O66" s="3">
        <f>C63</f>
        <v>0.57522830495219202</v>
      </c>
      <c r="P66" s="3">
        <f>E63</f>
        <v>0.24271149528809199</v>
      </c>
      <c r="Q66" s="3">
        <f>G63</f>
        <v>1.4356699190685499E-2</v>
      </c>
      <c r="R66" s="3">
        <v>0.53626375972858287</v>
      </c>
      <c r="T66" s="3"/>
    </row>
    <row r="67" spans="1:20">
      <c r="A67" s="6" t="s">
        <v>146</v>
      </c>
      <c r="B67" s="3">
        <f>AL5</f>
        <v>6.7853756608834095E-2</v>
      </c>
      <c r="C67" s="3">
        <f t="shared" ref="C67:G67" si="30">AM5</f>
        <v>1.0775199536011699</v>
      </c>
      <c r="D67" s="3">
        <f t="shared" si="30"/>
        <v>3.2308347655978203E-2</v>
      </c>
      <c r="E67" s="3">
        <f t="shared" si="30"/>
        <v>0.236341376611716</v>
      </c>
      <c r="F67" s="3">
        <f t="shared" si="30"/>
        <v>29.286988630336602</v>
      </c>
      <c r="G67" s="3">
        <f t="shared" si="30"/>
        <v>16.5780499662173</v>
      </c>
      <c r="H67" s="3"/>
      <c r="I67" s="6"/>
      <c r="J67" s="3"/>
      <c r="N67" s="3" t="s">
        <v>147</v>
      </c>
      <c r="O67" s="3">
        <f>C64</f>
        <v>1.4622672252439</v>
      </c>
      <c r="P67" s="3">
        <f>E64</f>
        <v>0.33158020569722102</v>
      </c>
      <c r="Q67" s="3">
        <f>G64</f>
        <v>1.6092092865717E-2</v>
      </c>
      <c r="R67" s="3">
        <v>1.1261455717657134</v>
      </c>
      <c r="T67" s="3"/>
    </row>
    <row r="68" spans="1:20">
      <c r="A68" s="6" t="s">
        <v>148</v>
      </c>
      <c r="B68" s="3">
        <f>AR5</f>
        <v>7.1785412894082398E-2</v>
      </c>
      <c r="C68" s="3">
        <f t="shared" ref="C68:G68" si="31">AS5</f>
        <v>15657390.421066299</v>
      </c>
      <c r="D68" s="3">
        <f t="shared" si="31"/>
        <v>3.8684138603141897E-2</v>
      </c>
      <c r="E68" s="3" t="str">
        <f t="shared" si="31"/>
        <v>inf</v>
      </c>
      <c r="F68" s="3">
        <f t="shared" si="31"/>
        <v>840.42355363046897</v>
      </c>
      <c r="G68" s="3">
        <f t="shared" si="31"/>
        <v>887006.62221683201</v>
      </c>
      <c r="H68" s="3"/>
      <c r="I68" s="6"/>
      <c r="J68" s="3"/>
      <c r="N68" t="s">
        <v>145</v>
      </c>
      <c r="O68" s="3">
        <f>C66</f>
        <v>1.31683308753814</v>
      </c>
      <c r="P68" s="3">
        <f>E66</f>
        <v>0.409448316410985</v>
      </c>
      <c r="Q68" s="3">
        <f>G66</f>
        <v>1.522655488698E-2</v>
      </c>
      <c r="R68" s="3">
        <v>1.0458488847613883</v>
      </c>
      <c r="T68" s="3"/>
    </row>
    <row r="69" spans="1:20">
      <c r="N69" s="3" t="s">
        <v>144</v>
      </c>
      <c r="O69" s="3">
        <f>C65</f>
        <v>1.1091183167165499</v>
      </c>
      <c r="P69" s="3">
        <f>E65</f>
        <v>0.25307432785373402</v>
      </c>
      <c r="Q69" s="3">
        <f>G65</f>
        <v>1.5863749737441899E-2</v>
      </c>
      <c r="R69" s="3">
        <v>0.89628053600174185</v>
      </c>
      <c r="T69" s="3"/>
    </row>
    <row r="71" spans="1:20">
      <c r="B71" s="6" t="str">
        <f>A6</f>
        <v>transit_stations_percent_change_from_baseline</v>
      </c>
    </row>
    <row r="73" spans="1:20">
      <c r="B73" s="6" t="s">
        <v>130</v>
      </c>
      <c r="C73" s="6"/>
      <c r="D73" s="6" t="s">
        <v>131</v>
      </c>
      <c r="E73" s="6"/>
      <c r="F73" s="6" t="s">
        <v>132</v>
      </c>
      <c r="I73" s="6"/>
      <c r="J73" s="6"/>
    </row>
    <row r="74" spans="1:20">
      <c r="A74" s="6" t="s">
        <v>135</v>
      </c>
      <c r="B74" s="6" t="s">
        <v>136</v>
      </c>
      <c r="C74" s="6" t="s">
        <v>137</v>
      </c>
      <c r="D74" s="6" t="s">
        <v>136</v>
      </c>
      <c r="E74" s="6" t="s">
        <v>137</v>
      </c>
      <c r="F74" s="6" t="s">
        <v>136</v>
      </c>
      <c r="G74" s="6" t="s">
        <v>137</v>
      </c>
      <c r="H74" s="6"/>
      <c r="I74" s="6"/>
    </row>
    <row r="75" spans="1:20">
      <c r="A75" s="6" t="s">
        <v>139</v>
      </c>
      <c r="B75" s="3">
        <f>B6</f>
        <v>0.243701950069632</v>
      </c>
      <c r="C75" s="3">
        <f t="shared" ref="C75:G75" si="32">C6</f>
        <v>4.6016779371930898</v>
      </c>
      <c r="D75" s="3">
        <f t="shared" si="32"/>
        <v>0.121516732130601</v>
      </c>
      <c r="E75" s="3">
        <f t="shared" si="32"/>
        <v>0.33699683528093699</v>
      </c>
      <c r="F75" s="3">
        <f t="shared" si="32"/>
        <v>2.02535259213944E-2</v>
      </c>
      <c r="G75" s="3">
        <f t="shared" si="32"/>
        <v>0.45296112089291701</v>
      </c>
      <c r="H75" s="3"/>
      <c r="I75" s="6"/>
      <c r="J75" s="3"/>
    </row>
    <row r="76" spans="1:20">
      <c r="A76" s="6" t="s">
        <v>141</v>
      </c>
      <c r="B76" s="3">
        <f>H6</f>
        <v>0.28708984556285899</v>
      </c>
      <c r="C76" s="3">
        <f t="shared" ref="C76:G76" si="33">J6</f>
        <v>0.165944071399106</v>
      </c>
      <c r="D76" s="3">
        <f t="shared" si="33"/>
        <v>0.236278157086875</v>
      </c>
      <c r="E76" s="3">
        <f t="shared" si="33"/>
        <v>2.1463329306927601E-2</v>
      </c>
      <c r="F76" s="3">
        <f t="shared" si="33"/>
        <v>0.13667126743322799</v>
      </c>
      <c r="G76" s="3">
        <f t="shared" si="33"/>
        <v>0.206300087211362</v>
      </c>
      <c r="H76" s="3"/>
      <c r="I76" s="6"/>
      <c r="J76" s="3"/>
    </row>
    <row r="77" spans="1:20">
      <c r="A77" s="7" t="s">
        <v>142</v>
      </c>
      <c r="B77" s="4">
        <f>N6</f>
        <v>0.206300087211362</v>
      </c>
      <c r="C77" s="4">
        <f t="shared" ref="C77:G77" si="34">Q6</f>
        <v>0.29439664718455899</v>
      </c>
      <c r="D77" s="4">
        <f t="shared" si="34"/>
        <v>2.1609072331995299E-2</v>
      </c>
      <c r="E77" s="4">
        <f t="shared" si="34"/>
        <v>0.133756334945904</v>
      </c>
      <c r="F77" s="4">
        <f t="shared" si="34"/>
        <v>0.14136515836647001</v>
      </c>
      <c r="G77" s="4">
        <f t="shared" si="34"/>
        <v>0.86691488027262398</v>
      </c>
      <c r="H77" s="4"/>
      <c r="I77" s="6"/>
      <c r="J77" s="3"/>
      <c r="N77" s="3" t="str">
        <f>B71</f>
        <v>transit_stations_percent_change_from_baseline</v>
      </c>
    </row>
    <row r="78" spans="1:20">
      <c r="A78" s="8" t="s">
        <v>143</v>
      </c>
      <c r="B78" s="9">
        <f>T6</f>
        <v>0.14136515836647001</v>
      </c>
      <c r="C78" s="9">
        <f t="shared" ref="C78:G78" si="35">X6</f>
        <v>2.0630468607572099E-2</v>
      </c>
      <c r="D78" s="9">
        <f t="shared" si="35"/>
        <v>0.13517982373549101</v>
      </c>
      <c r="E78" s="9">
        <f>Z6</f>
        <v>8.9692626784336399E-2</v>
      </c>
      <c r="F78" s="9">
        <f t="shared" si="35"/>
        <v>1.05441664389169</v>
      </c>
      <c r="G78" s="9">
        <f t="shared" si="35"/>
        <v>4.2413698173389698E-2</v>
      </c>
      <c r="H78" s="9"/>
      <c r="I78" s="10"/>
      <c r="J78" s="10"/>
    </row>
    <row r="79" spans="1:20">
      <c r="A79" s="6" t="s">
        <v>144</v>
      </c>
      <c r="B79" s="3">
        <f>Z6</f>
        <v>8.9692626784336399E-2</v>
      </c>
      <c r="C79" s="3">
        <f t="shared" ref="C79:G79" si="36">AE6</f>
        <v>0.13569640982466499</v>
      </c>
      <c r="D79" s="3">
        <f t="shared" si="36"/>
        <v>5.8924457430648696</v>
      </c>
      <c r="E79" s="3">
        <f t="shared" si="36"/>
        <v>2.29532551331521</v>
      </c>
      <c r="F79" s="3">
        <f t="shared" si="36"/>
        <v>2.7619763480577801</v>
      </c>
      <c r="G79" s="3">
        <f t="shared" si="36"/>
        <v>0.80128027108021604</v>
      </c>
      <c r="H79" s="3"/>
      <c r="N79" s="3" t="s">
        <v>135</v>
      </c>
      <c r="O79" t="s">
        <v>130</v>
      </c>
      <c r="P79" s="3" t="s">
        <v>131</v>
      </c>
      <c r="Q79" t="s">
        <v>132</v>
      </c>
      <c r="R79" s="3" t="s">
        <v>156</v>
      </c>
      <c r="T79" s="3"/>
    </row>
    <row r="80" spans="1:20">
      <c r="A80" s="8" t="s">
        <v>145</v>
      </c>
      <c r="B80" s="9">
        <f>AF6</f>
        <v>5.8924457430648696</v>
      </c>
      <c r="C80" s="9">
        <f t="shared" ref="C80:G80" si="37">AL6</f>
        <v>8.1124409456104593E-2</v>
      </c>
      <c r="D80" s="9">
        <f t="shared" si="37"/>
        <v>1.8511009512494001</v>
      </c>
      <c r="E80" s="9">
        <f t="shared" si="37"/>
        <v>3.86135268468384E-2</v>
      </c>
      <c r="F80" s="9">
        <f t="shared" si="37"/>
        <v>0.26881725615455798</v>
      </c>
      <c r="G80" s="9">
        <f t="shared" si="37"/>
        <v>28.779647181598001</v>
      </c>
      <c r="H80" s="9"/>
      <c r="I80" s="10"/>
      <c r="J80" s="10"/>
      <c r="N80" s="3" t="s">
        <v>142</v>
      </c>
      <c r="O80" s="3">
        <f>C77</f>
        <v>0.29439664718455899</v>
      </c>
      <c r="P80" s="3">
        <f>E77</f>
        <v>0.133756334945904</v>
      </c>
      <c r="Q80" s="3">
        <f>G77</f>
        <v>0.86691488027262398</v>
      </c>
      <c r="R80" s="3">
        <v>0.51939002547640878</v>
      </c>
      <c r="T80" s="3"/>
    </row>
    <row r="81" spans="1:20">
      <c r="A81" s="6" t="s">
        <v>146</v>
      </c>
      <c r="B81" s="3">
        <f>AL6</f>
        <v>8.1124409456104593E-2</v>
      </c>
      <c r="C81" s="3">
        <f t="shared" ref="C81:G81" si="38">AS6</f>
        <v>529767073.05960202</v>
      </c>
      <c r="D81" s="3">
        <f t="shared" si="38"/>
        <v>4.9460709488571598E-2</v>
      </c>
      <c r="E81" s="3" t="str">
        <f t="shared" si="38"/>
        <v>inf</v>
      </c>
      <c r="F81" s="3">
        <f t="shared" si="38"/>
        <v>1365.9017050115699</v>
      </c>
      <c r="G81" s="3">
        <f t="shared" si="38"/>
        <v>148339323.50860101</v>
      </c>
      <c r="H81" s="3"/>
      <c r="I81" s="6"/>
      <c r="J81" s="3"/>
      <c r="N81" s="3" t="s">
        <v>147</v>
      </c>
      <c r="O81" s="3">
        <f>C78</f>
        <v>2.0630468607572099E-2</v>
      </c>
      <c r="P81" s="3">
        <f>E78</f>
        <v>8.9692626784336399E-2</v>
      </c>
      <c r="Q81" s="3">
        <f>G78</f>
        <v>4.2413698173389698E-2</v>
      </c>
      <c r="R81" s="3">
        <v>0.78817728609715443</v>
      </c>
      <c r="T81" s="3"/>
    </row>
    <row r="82" spans="1:20">
      <c r="A82" s="6" t="s">
        <v>148</v>
      </c>
      <c r="B82" s="3">
        <f>AR6</f>
        <v>0.114931448528846</v>
      </c>
      <c r="C82" s="3">
        <f t="shared" ref="C82:G82" si="39">AZ6</f>
        <v>0</v>
      </c>
      <c r="D82" s="3">
        <f t="shared" si="39"/>
        <v>0</v>
      </c>
      <c r="E82" s="3">
        <f t="shared" si="39"/>
        <v>0</v>
      </c>
      <c r="F82" s="3">
        <f t="shared" si="39"/>
        <v>0</v>
      </c>
      <c r="G82" s="3">
        <f t="shared" si="39"/>
        <v>0</v>
      </c>
      <c r="H82" s="3"/>
      <c r="I82" s="6"/>
      <c r="J82" s="3"/>
      <c r="N82" t="s">
        <v>145</v>
      </c>
      <c r="O82" s="3">
        <f>C80</f>
        <v>8.1124409456104593E-2</v>
      </c>
      <c r="P82" s="3">
        <f>E80</f>
        <v>3.86135268468384E-2</v>
      </c>
      <c r="Q82" s="3">
        <f>G80</f>
        <v>28.779647181598001</v>
      </c>
      <c r="R82" s="3">
        <v>1.7000403952506398</v>
      </c>
      <c r="T82" s="3"/>
    </row>
    <row r="83" spans="1:20">
      <c r="N83" s="3" t="s">
        <v>144</v>
      </c>
      <c r="O83" s="3">
        <f>C79</f>
        <v>0.13569640982466499</v>
      </c>
      <c r="P83" s="3">
        <f>E79</f>
        <v>2.29532551331521</v>
      </c>
      <c r="Q83" s="3">
        <f>G79</f>
        <v>0.80128027108021604</v>
      </c>
      <c r="R83" s="3">
        <v>0.7896595132380384</v>
      </c>
      <c r="T83" s="3"/>
    </row>
    <row r="85" spans="1:20">
      <c r="B85" s="6" t="str">
        <f>A7</f>
        <v>workplaces_percent_change_from_baseline</v>
      </c>
    </row>
    <row r="87" spans="1:20">
      <c r="B87" s="6" t="s">
        <v>130</v>
      </c>
      <c r="C87" s="6"/>
      <c r="D87" s="6" t="s">
        <v>131</v>
      </c>
      <c r="E87" s="6"/>
      <c r="F87" s="6" t="s">
        <v>132</v>
      </c>
      <c r="I87" s="6"/>
      <c r="J87" s="6"/>
    </row>
    <row r="88" spans="1:20">
      <c r="A88" s="6" t="s">
        <v>135</v>
      </c>
      <c r="B88" s="6" t="s">
        <v>136</v>
      </c>
      <c r="C88" s="6" t="s">
        <v>137</v>
      </c>
      <c r="D88" s="6" t="s">
        <v>136</v>
      </c>
      <c r="E88" s="6" t="s">
        <v>137</v>
      </c>
      <c r="F88" s="6" t="s">
        <v>136</v>
      </c>
      <c r="G88" s="6" t="s">
        <v>137</v>
      </c>
      <c r="H88" s="6"/>
      <c r="I88" s="6"/>
    </row>
    <row r="89" spans="1:20">
      <c r="A89" s="6" t="s">
        <v>139</v>
      </c>
      <c r="B89" s="3">
        <f>B7</f>
        <v>0.112350135598698</v>
      </c>
      <c r="C89" s="3">
        <f t="shared" ref="C89:G89" si="40">C7</f>
        <v>0.43540703289113297</v>
      </c>
      <c r="D89" s="3">
        <f t="shared" si="40"/>
        <v>8.1706551121544194E-2</v>
      </c>
      <c r="E89" s="3">
        <f t="shared" si="40"/>
        <v>0.24118526439124599</v>
      </c>
      <c r="F89" s="3">
        <f t="shared" si="40"/>
        <v>9.7559090004999804E-3</v>
      </c>
      <c r="G89" s="3">
        <f t="shared" si="40"/>
        <v>2.1208683358949099E-2</v>
      </c>
      <c r="H89" s="3"/>
      <c r="I89" s="6"/>
      <c r="J89" s="3"/>
    </row>
    <row r="90" spans="1:20">
      <c r="A90" s="6" t="s">
        <v>141</v>
      </c>
      <c r="B90" s="3">
        <f>H7</f>
        <v>0.10340307137827</v>
      </c>
      <c r="C90" s="3">
        <f t="shared" ref="C90:G90" si="41">I7</f>
        <v>0.44929813922958201</v>
      </c>
      <c r="D90" s="3">
        <f t="shared" si="41"/>
        <v>8.0418476835119795E-2</v>
      </c>
      <c r="E90" s="3">
        <f t="shared" si="41"/>
        <v>0.25571021856033399</v>
      </c>
      <c r="F90" s="3">
        <f t="shared" si="41"/>
        <v>9.9460575064857105E-3</v>
      </c>
      <c r="G90" s="3">
        <f t="shared" si="41"/>
        <v>2.1343811800180999E-2</v>
      </c>
      <c r="H90" s="3"/>
      <c r="I90" s="6"/>
      <c r="J90" s="3"/>
    </row>
    <row r="91" spans="1:20">
      <c r="A91" s="7" t="s">
        <v>142</v>
      </c>
      <c r="B91" s="4">
        <f>N7</f>
        <v>0.17027398954026801</v>
      </c>
      <c r="C91" s="4">
        <f t="shared" ref="C91:G91" si="42">O7</f>
        <v>0.27122691296116103</v>
      </c>
      <c r="D91" s="4">
        <f t="shared" si="42"/>
        <v>0.12561676334204799</v>
      </c>
      <c r="E91" s="4">
        <f t="shared" si="42"/>
        <v>0.152351308027389</v>
      </c>
      <c r="F91" s="4">
        <f t="shared" si="42"/>
        <v>1.03811556899975E-2</v>
      </c>
      <c r="G91" s="4">
        <f t="shared" si="42"/>
        <v>2.0696416133748698E-2</v>
      </c>
      <c r="H91" s="4"/>
      <c r="I91" s="6"/>
      <c r="J91" s="3"/>
      <c r="N91" s="3" t="str">
        <f>B85</f>
        <v>workplaces_percent_change_from_baseline</v>
      </c>
    </row>
    <row r="92" spans="1:20">
      <c r="A92" s="8" t="s">
        <v>143</v>
      </c>
      <c r="B92" s="9">
        <f>T7</f>
        <v>4.6930455100198602E-2</v>
      </c>
      <c r="C92" s="9">
        <f t="shared" ref="C92:G92" si="43">U7</f>
        <v>0.629400075555692</v>
      </c>
      <c r="D92" s="9">
        <f t="shared" si="43"/>
        <v>3.38813912923756E-2</v>
      </c>
      <c r="E92" s="9">
        <f t="shared" si="43"/>
        <v>0.34862810882853101</v>
      </c>
      <c r="F92" s="9">
        <f t="shared" si="43"/>
        <v>9.7736156263604403E-3</v>
      </c>
      <c r="G92" s="9">
        <f t="shared" si="43"/>
        <v>2.1106204638451E-2</v>
      </c>
      <c r="H92" s="9"/>
      <c r="I92" s="10"/>
      <c r="J92" s="10"/>
    </row>
    <row r="93" spans="1:20">
      <c r="A93" s="6" t="s">
        <v>144</v>
      </c>
      <c r="B93" s="3">
        <f>Z7</f>
        <v>3.6744767746431803E-2</v>
      </c>
      <c r="C93" s="3">
        <f t="shared" ref="C93:G93" si="44">AA7</f>
        <v>0.47961479247884398</v>
      </c>
      <c r="D93" s="3">
        <f t="shared" si="44"/>
        <v>2.6576446182414198E-2</v>
      </c>
      <c r="E93" s="3">
        <f t="shared" si="44"/>
        <v>0.26937257629393002</v>
      </c>
      <c r="F93" s="3" t="str">
        <f t="shared" si="44"/>
        <v>inf</v>
      </c>
      <c r="G93" s="3">
        <f t="shared" si="44"/>
        <v>2.1040579283946401E-2</v>
      </c>
      <c r="H93" s="3"/>
      <c r="N93" s="3" t="s">
        <v>135</v>
      </c>
      <c r="O93" t="s">
        <v>130</v>
      </c>
      <c r="P93" s="3" t="s">
        <v>131</v>
      </c>
      <c r="Q93" t="s">
        <v>132</v>
      </c>
      <c r="R93" s="3" t="s">
        <v>156</v>
      </c>
      <c r="T93" s="3"/>
    </row>
    <row r="94" spans="1:20">
      <c r="A94" s="8" t="s">
        <v>145</v>
      </c>
      <c r="B94" s="9">
        <f>AF7</f>
        <v>19.876475282326801</v>
      </c>
      <c r="C94" s="9">
        <f t="shared" ref="C94:G94" si="45">AG7</f>
        <v>6.9794744527301802</v>
      </c>
      <c r="D94" s="9">
        <f t="shared" si="45"/>
        <v>9.2249741498831099</v>
      </c>
      <c r="E94" s="9">
        <f t="shared" si="45"/>
        <v>2.96137711408866</v>
      </c>
      <c r="F94" s="9" t="str">
        <f t="shared" si="45"/>
        <v>inf</v>
      </c>
      <c r="G94" s="9">
        <f t="shared" si="45"/>
        <v>2.0670640996024201E-2</v>
      </c>
      <c r="H94" s="9"/>
      <c r="I94" s="10"/>
      <c r="J94" s="10"/>
      <c r="N94" s="3" t="s">
        <v>142</v>
      </c>
      <c r="O94" s="3">
        <f>C91</f>
        <v>0.27122691296116103</v>
      </c>
      <c r="P94" s="3">
        <f>E91</f>
        <v>0.152351308027389</v>
      </c>
      <c r="Q94" s="3">
        <f>G91</f>
        <v>2.0696416133748698E-2</v>
      </c>
      <c r="R94" s="3">
        <v>0.2716950768530414</v>
      </c>
      <c r="T94" s="3"/>
    </row>
    <row r="95" spans="1:20">
      <c r="A95" s="6" t="s">
        <v>146</v>
      </c>
      <c r="B95" s="3">
        <f>AL7</f>
        <v>3.5662824230635402E-2</v>
      </c>
      <c r="C95" s="3">
        <f t="shared" ref="C95:G95" si="46">AM7</f>
        <v>0.44681105162857998</v>
      </c>
      <c r="D95" s="3">
        <f t="shared" si="46"/>
        <v>2.5943971675581899E-2</v>
      </c>
      <c r="E95" s="3">
        <f t="shared" si="46"/>
        <v>0.25049246751257698</v>
      </c>
      <c r="F95" s="3">
        <f t="shared" si="46"/>
        <v>5.9998175308683104</v>
      </c>
      <c r="G95" s="3">
        <f t="shared" si="46"/>
        <v>2.1714639713164798</v>
      </c>
      <c r="H95" s="3"/>
      <c r="I95" s="6"/>
      <c r="J95" s="3"/>
      <c r="N95" s="3" t="s">
        <v>147</v>
      </c>
      <c r="O95" s="3">
        <f>C92</f>
        <v>0.629400075555692</v>
      </c>
      <c r="P95" s="3">
        <f>E92</f>
        <v>0.34862810882853101</v>
      </c>
      <c r="Q95" s="3">
        <f>G92</f>
        <v>2.1106204638451E-2</v>
      </c>
      <c r="R95" s="3">
        <v>0.85134001492849043</v>
      </c>
      <c r="T95" s="3"/>
    </row>
    <row r="96" spans="1:20">
      <c r="A96" s="6" t="s">
        <v>148</v>
      </c>
      <c r="B96" s="3">
        <f>AR7</f>
        <v>3.4339178084719597E-2</v>
      </c>
      <c r="C96" s="3">
        <f t="shared" ref="C96:G96" si="47">AS7</f>
        <v>4.0057323210989498E+32</v>
      </c>
      <c r="D96" s="3">
        <f t="shared" si="47"/>
        <v>2.53869840625865E-2</v>
      </c>
      <c r="E96" s="3" t="str">
        <f t="shared" si="47"/>
        <v>inf</v>
      </c>
      <c r="F96" s="3">
        <f t="shared" si="47"/>
        <v>4.62452379689877</v>
      </c>
      <c r="G96" s="3">
        <f t="shared" si="47"/>
        <v>5.2421922799762499E+32</v>
      </c>
      <c r="H96" s="3"/>
      <c r="I96" s="6"/>
      <c r="J96" s="3"/>
      <c r="N96" t="s">
        <v>145</v>
      </c>
      <c r="O96" s="3">
        <f>C94</f>
        <v>6.9794744527301802</v>
      </c>
      <c r="P96" s="3">
        <f>E94</f>
        <v>2.96137711408866</v>
      </c>
      <c r="Q96" s="3">
        <f>G94</f>
        <v>2.0670640996024201E-2</v>
      </c>
      <c r="R96" s="3">
        <v>4.8377994751366975</v>
      </c>
      <c r="T96" s="3"/>
    </row>
    <row r="97" spans="14:20">
      <c r="N97" s="3" t="s">
        <v>144</v>
      </c>
      <c r="O97" s="3">
        <f>C93</f>
        <v>0.47961479247884398</v>
      </c>
      <c r="P97" s="3">
        <f>E93</f>
        <v>0.26937257629393002</v>
      </c>
      <c r="Q97" s="3">
        <f>G93</f>
        <v>2.1040579283946401E-2</v>
      </c>
      <c r="R97" s="3">
        <v>0.66760185615733791</v>
      </c>
      <c r="T97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delta_pred</vt:lpstr>
      <vt:lpstr>fitting_c2_w</vt:lpstr>
      <vt:lpstr>prediction_c2_w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Fang Tang</dc:creator>
  <cp:lastModifiedBy>Fang Tang</cp:lastModifiedBy>
  <dcterms:created xsi:type="dcterms:W3CDTF">2024-09-02T02:55:57Z</dcterms:created>
  <dcterms:modified xsi:type="dcterms:W3CDTF">2024-09-19T00:59:08Z</dcterms:modified>
</cp:coreProperties>
</file>