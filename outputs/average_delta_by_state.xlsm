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/>
  <workbookPr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fang/PycharmProjects/dqq/LEA_2024/final/outputs/"/>
    </mc:Choice>
  </mc:AlternateContent>
  <xr:revisionPtr revIDLastSave="0" documentId="13_ncr:9_{E7939215-64F4-D74D-A176-8F39ACAA3521}" xr6:coauthVersionLast="47" xr6:coauthVersionMax="47" xr10:uidLastSave="{00000000-0000-0000-0000-000000000000}"/>
  <bookViews>
    <workbookView xWindow="0" yWindow="500" windowWidth="18720" windowHeight="21100" xr2:uid="{7B1170AB-225B-E143-B00A-0AFD8BEF785F}"/>
  </bookViews>
  <sheets>
    <sheet name="Sheet1" sheetId="2" r:id="rId1"/>
    <sheet name="average_rmse_by_state" sheetId="1" r:id="rId2"/>
  </sheets>
  <calcPr calcId="191029"/>
  <pivotCaches>
    <pivotCache cacheId="11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" i="1" l="1"/>
  <c r="N3" i="1"/>
  <c r="O3" i="1"/>
  <c r="P3" i="1"/>
  <c r="Q3" i="1"/>
  <c r="R3" i="1"/>
  <c r="S3" i="1"/>
  <c r="M4" i="1"/>
  <c r="N4" i="1"/>
  <c r="O4" i="1"/>
  <c r="P4" i="1"/>
  <c r="Q4" i="1"/>
  <c r="R4" i="1"/>
  <c r="S4" i="1"/>
  <c r="M5" i="1"/>
  <c r="N5" i="1"/>
  <c r="O5" i="1"/>
  <c r="P5" i="1"/>
  <c r="Q5" i="1"/>
  <c r="R5" i="1"/>
  <c r="S5" i="1"/>
  <c r="M6" i="1"/>
  <c r="N6" i="1"/>
  <c r="O6" i="1"/>
  <c r="P6" i="1"/>
  <c r="Q6" i="1"/>
  <c r="R6" i="1"/>
  <c r="S6" i="1"/>
  <c r="M7" i="1"/>
  <c r="N7" i="1"/>
  <c r="O7" i="1"/>
  <c r="P7" i="1"/>
  <c r="Q7" i="1"/>
  <c r="R7" i="1"/>
  <c r="S7" i="1"/>
  <c r="M8" i="1"/>
  <c r="N8" i="1"/>
  <c r="O8" i="1"/>
  <c r="P8" i="1"/>
  <c r="Q8" i="1"/>
  <c r="R8" i="1"/>
  <c r="S8" i="1"/>
  <c r="M9" i="1"/>
  <c r="N9" i="1"/>
  <c r="O9" i="1"/>
  <c r="P9" i="1"/>
  <c r="Q9" i="1"/>
  <c r="R9" i="1"/>
  <c r="S9" i="1"/>
  <c r="M10" i="1"/>
  <c r="N10" i="1"/>
  <c r="O10" i="1"/>
  <c r="P10" i="1"/>
  <c r="Q10" i="1"/>
  <c r="R10" i="1"/>
  <c r="S10" i="1"/>
  <c r="M11" i="1"/>
  <c r="N11" i="1"/>
  <c r="O11" i="1"/>
  <c r="P11" i="1"/>
  <c r="Q11" i="1"/>
  <c r="R11" i="1"/>
  <c r="S11" i="1"/>
  <c r="M12" i="1"/>
  <c r="N12" i="1"/>
  <c r="O12" i="1"/>
  <c r="P12" i="1"/>
  <c r="Q12" i="1"/>
  <c r="R12" i="1"/>
  <c r="S12" i="1"/>
  <c r="M13" i="1"/>
  <c r="N13" i="1"/>
  <c r="O13" i="1"/>
  <c r="P13" i="1"/>
  <c r="Q13" i="1"/>
  <c r="R13" i="1"/>
  <c r="S13" i="1"/>
  <c r="M14" i="1"/>
  <c r="N14" i="1"/>
  <c r="O14" i="1"/>
  <c r="P14" i="1"/>
  <c r="Q14" i="1"/>
  <c r="R14" i="1"/>
  <c r="S14" i="1"/>
  <c r="M15" i="1"/>
  <c r="N15" i="1"/>
  <c r="O15" i="1"/>
  <c r="P15" i="1"/>
  <c r="Q15" i="1"/>
  <c r="R15" i="1"/>
  <c r="S15" i="1"/>
  <c r="M16" i="1"/>
  <c r="N16" i="1"/>
  <c r="O16" i="1"/>
  <c r="P16" i="1"/>
  <c r="Q16" i="1"/>
  <c r="R16" i="1"/>
  <c r="S16" i="1"/>
  <c r="M17" i="1"/>
  <c r="N17" i="1"/>
  <c r="O17" i="1"/>
  <c r="P17" i="1"/>
  <c r="Q17" i="1"/>
  <c r="R17" i="1"/>
  <c r="S17" i="1"/>
  <c r="M18" i="1"/>
  <c r="N18" i="1"/>
  <c r="O18" i="1"/>
  <c r="P18" i="1"/>
  <c r="Q18" i="1"/>
  <c r="R18" i="1"/>
  <c r="S18" i="1"/>
  <c r="M19" i="1"/>
  <c r="N19" i="1"/>
  <c r="O19" i="1"/>
  <c r="P19" i="1"/>
  <c r="Q19" i="1"/>
  <c r="R19" i="1"/>
  <c r="S19" i="1"/>
  <c r="M20" i="1"/>
  <c r="N20" i="1"/>
  <c r="O20" i="1"/>
  <c r="P20" i="1"/>
  <c r="Q20" i="1"/>
  <c r="R20" i="1"/>
  <c r="S20" i="1"/>
  <c r="M21" i="1"/>
  <c r="N21" i="1"/>
  <c r="O21" i="1"/>
  <c r="P21" i="1"/>
  <c r="Q21" i="1"/>
  <c r="R21" i="1"/>
  <c r="S21" i="1"/>
  <c r="M22" i="1"/>
  <c r="N22" i="1"/>
  <c r="O22" i="1"/>
  <c r="P22" i="1"/>
  <c r="Q22" i="1"/>
  <c r="R22" i="1"/>
  <c r="S22" i="1"/>
  <c r="M23" i="1"/>
  <c r="N23" i="1"/>
  <c r="O23" i="1"/>
  <c r="P23" i="1"/>
  <c r="Q23" i="1"/>
  <c r="R23" i="1"/>
  <c r="S23" i="1"/>
  <c r="M24" i="1"/>
  <c r="N24" i="1"/>
  <c r="O24" i="1"/>
  <c r="P24" i="1"/>
  <c r="Q24" i="1"/>
  <c r="R24" i="1"/>
  <c r="S24" i="1"/>
  <c r="M25" i="1"/>
  <c r="N25" i="1"/>
  <c r="O25" i="1"/>
  <c r="P25" i="1"/>
  <c r="Q25" i="1"/>
  <c r="R25" i="1"/>
  <c r="S25" i="1"/>
  <c r="M26" i="1"/>
  <c r="N26" i="1"/>
  <c r="O26" i="1"/>
  <c r="P26" i="1"/>
  <c r="Q26" i="1"/>
  <c r="R26" i="1"/>
  <c r="S26" i="1"/>
  <c r="M27" i="1"/>
  <c r="N27" i="1"/>
  <c r="O27" i="1"/>
  <c r="P27" i="1"/>
  <c r="Q27" i="1"/>
  <c r="R27" i="1"/>
  <c r="S27" i="1"/>
  <c r="M28" i="1"/>
  <c r="N28" i="1"/>
  <c r="O28" i="1"/>
  <c r="P28" i="1"/>
  <c r="Q28" i="1"/>
  <c r="R28" i="1"/>
  <c r="S28" i="1"/>
  <c r="M29" i="1"/>
  <c r="N29" i="1"/>
  <c r="O29" i="1"/>
  <c r="P29" i="1"/>
  <c r="Q29" i="1"/>
  <c r="R29" i="1"/>
  <c r="S29" i="1"/>
  <c r="M30" i="1"/>
  <c r="N30" i="1"/>
  <c r="O30" i="1"/>
  <c r="P30" i="1"/>
  <c r="Q30" i="1"/>
  <c r="R30" i="1"/>
  <c r="S30" i="1"/>
  <c r="M31" i="1"/>
  <c r="N31" i="1"/>
  <c r="O31" i="1"/>
  <c r="P31" i="1"/>
  <c r="Q31" i="1"/>
  <c r="R31" i="1"/>
  <c r="S31" i="1"/>
  <c r="M32" i="1"/>
  <c r="N32" i="1"/>
  <c r="O32" i="1"/>
  <c r="P32" i="1"/>
  <c r="Q32" i="1"/>
  <c r="R32" i="1"/>
  <c r="S32" i="1"/>
  <c r="M33" i="1"/>
  <c r="N33" i="1"/>
  <c r="O33" i="1"/>
  <c r="P33" i="1"/>
  <c r="Q33" i="1"/>
  <c r="R33" i="1"/>
  <c r="S33" i="1"/>
  <c r="M34" i="1"/>
  <c r="N34" i="1"/>
  <c r="O34" i="1"/>
  <c r="P34" i="1"/>
  <c r="Q34" i="1"/>
  <c r="R34" i="1"/>
  <c r="S34" i="1"/>
  <c r="M35" i="1"/>
  <c r="N35" i="1"/>
  <c r="O35" i="1"/>
  <c r="P35" i="1"/>
  <c r="Q35" i="1"/>
  <c r="R35" i="1"/>
  <c r="S35" i="1"/>
  <c r="M36" i="1"/>
  <c r="N36" i="1"/>
  <c r="O36" i="1"/>
  <c r="P36" i="1"/>
  <c r="Q36" i="1"/>
  <c r="R36" i="1"/>
  <c r="S36" i="1"/>
  <c r="M37" i="1"/>
  <c r="N37" i="1"/>
  <c r="O37" i="1"/>
  <c r="P37" i="1"/>
  <c r="Q37" i="1"/>
  <c r="R37" i="1"/>
  <c r="S37" i="1"/>
  <c r="M38" i="1"/>
  <c r="N38" i="1"/>
  <c r="O38" i="1"/>
  <c r="P38" i="1"/>
  <c r="Q38" i="1"/>
  <c r="R38" i="1"/>
  <c r="S38" i="1"/>
  <c r="M39" i="1"/>
  <c r="N39" i="1"/>
  <c r="O39" i="1"/>
  <c r="P39" i="1"/>
  <c r="Q39" i="1"/>
  <c r="R39" i="1"/>
  <c r="S39" i="1"/>
  <c r="M40" i="1"/>
  <c r="N40" i="1"/>
  <c r="O40" i="1"/>
  <c r="P40" i="1"/>
  <c r="Q40" i="1"/>
  <c r="R40" i="1"/>
  <c r="S40" i="1"/>
  <c r="M41" i="1"/>
  <c r="N41" i="1"/>
  <c r="O41" i="1"/>
  <c r="P41" i="1"/>
  <c r="Q41" i="1"/>
  <c r="R41" i="1"/>
  <c r="S41" i="1"/>
  <c r="M42" i="1"/>
  <c r="N42" i="1"/>
  <c r="O42" i="1"/>
  <c r="P42" i="1"/>
  <c r="Q42" i="1"/>
  <c r="R42" i="1"/>
  <c r="S42" i="1"/>
  <c r="M43" i="1"/>
  <c r="N43" i="1"/>
  <c r="O43" i="1"/>
  <c r="P43" i="1"/>
  <c r="Q43" i="1"/>
  <c r="R43" i="1"/>
  <c r="S43" i="1"/>
  <c r="M44" i="1"/>
  <c r="N44" i="1"/>
  <c r="O44" i="1"/>
  <c r="P44" i="1"/>
  <c r="Q44" i="1"/>
  <c r="R44" i="1"/>
  <c r="S44" i="1"/>
  <c r="M45" i="1"/>
  <c r="N45" i="1"/>
  <c r="O45" i="1"/>
  <c r="P45" i="1"/>
  <c r="Q45" i="1"/>
  <c r="R45" i="1"/>
  <c r="S45" i="1"/>
  <c r="M46" i="1"/>
  <c r="N46" i="1"/>
  <c r="O46" i="1"/>
  <c r="P46" i="1"/>
  <c r="Q46" i="1"/>
  <c r="R46" i="1"/>
  <c r="S46" i="1"/>
  <c r="M47" i="1"/>
  <c r="N47" i="1"/>
  <c r="O47" i="1"/>
  <c r="P47" i="1"/>
  <c r="Q47" i="1"/>
  <c r="R47" i="1"/>
  <c r="S47" i="1"/>
  <c r="M48" i="1"/>
  <c r="N48" i="1"/>
  <c r="O48" i="1"/>
  <c r="P48" i="1"/>
  <c r="Q48" i="1"/>
  <c r="R48" i="1"/>
  <c r="S48" i="1"/>
  <c r="M49" i="1"/>
  <c r="N49" i="1"/>
  <c r="O49" i="1"/>
  <c r="P49" i="1"/>
  <c r="Q49" i="1"/>
  <c r="R49" i="1"/>
  <c r="S49" i="1"/>
  <c r="M50" i="1"/>
  <c r="N50" i="1"/>
  <c r="O50" i="1"/>
  <c r="P50" i="1"/>
  <c r="Q50" i="1"/>
  <c r="R50" i="1"/>
  <c r="S50" i="1"/>
  <c r="M51" i="1"/>
  <c r="N51" i="1"/>
  <c r="O51" i="1"/>
  <c r="P51" i="1"/>
  <c r="Q51" i="1"/>
  <c r="R51" i="1"/>
  <c r="S51" i="1"/>
  <c r="M52" i="1"/>
  <c r="N52" i="1"/>
  <c r="O52" i="1"/>
  <c r="P52" i="1"/>
  <c r="Q52" i="1"/>
  <c r="R52" i="1"/>
  <c r="S52" i="1"/>
  <c r="M53" i="1"/>
  <c r="N53" i="1"/>
  <c r="O53" i="1"/>
  <c r="P53" i="1"/>
  <c r="Q53" i="1"/>
  <c r="R53" i="1"/>
  <c r="S53" i="1"/>
  <c r="M54" i="1"/>
  <c r="N54" i="1"/>
  <c r="O54" i="1"/>
  <c r="P54" i="1"/>
  <c r="Q54" i="1"/>
  <c r="R54" i="1"/>
  <c r="S54" i="1"/>
  <c r="M55" i="1"/>
  <c r="N55" i="1"/>
  <c r="O55" i="1"/>
  <c r="P55" i="1"/>
  <c r="Q55" i="1"/>
  <c r="R55" i="1"/>
  <c r="S55" i="1"/>
  <c r="M56" i="1"/>
  <c r="N56" i="1"/>
  <c r="O56" i="1"/>
  <c r="P56" i="1"/>
  <c r="Q56" i="1"/>
  <c r="R56" i="1"/>
  <c r="S56" i="1"/>
  <c r="M57" i="1"/>
  <c r="N57" i="1"/>
  <c r="O57" i="1"/>
  <c r="P57" i="1"/>
  <c r="Q57" i="1"/>
  <c r="R57" i="1"/>
  <c r="S57" i="1"/>
  <c r="M58" i="1"/>
  <c r="N58" i="1"/>
  <c r="O58" i="1"/>
  <c r="P58" i="1"/>
  <c r="Q58" i="1"/>
  <c r="R58" i="1"/>
  <c r="S58" i="1"/>
  <c r="M59" i="1"/>
  <c r="N59" i="1"/>
  <c r="O59" i="1"/>
  <c r="P59" i="1"/>
  <c r="Q59" i="1"/>
  <c r="R59" i="1"/>
  <c r="S59" i="1"/>
  <c r="M60" i="1"/>
  <c r="N60" i="1"/>
  <c r="O60" i="1"/>
  <c r="P60" i="1"/>
  <c r="Q60" i="1"/>
  <c r="R60" i="1"/>
  <c r="S60" i="1"/>
  <c r="M61" i="1"/>
  <c r="N61" i="1"/>
  <c r="O61" i="1"/>
  <c r="P61" i="1"/>
  <c r="Q61" i="1"/>
  <c r="R61" i="1"/>
  <c r="S61" i="1"/>
  <c r="M62" i="1"/>
  <c r="N62" i="1"/>
  <c r="O62" i="1"/>
  <c r="P62" i="1"/>
  <c r="Q62" i="1"/>
  <c r="R62" i="1"/>
  <c r="S62" i="1"/>
  <c r="M63" i="1"/>
  <c r="N63" i="1"/>
  <c r="O63" i="1"/>
  <c r="P63" i="1"/>
  <c r="Q63" i="1"/>
  <c r="R63" i="1"/>
  <c r="S63" i="1"/>
  <c r="M64" i="1"/>
  <c r="N64" i="1"/>
  <c r="O64" i="1"/>
  <c r="P64" i="1"/>
  <c r="Q64" i="1"/>
  <c r="R64" i="1"/>
  <c r="S64" i="1"/>
  <c r="M65" i="1"/>
  <c r="N65" i="1"/>
  <c r="O65" i="1"/>
  <c r="P65" i="1"/>
  <c r="Q65" i="1"/>
  <c r="R65" i="1"/>
  <c r="S65" i="1"/>
  <c r="M66" i="1"/>
  <c r="N66" i="1"/>
  <c r="O66" i="1"/>
  <c r="P66" i="1"/>
  <c r="Q66" i="1"/>
  <c r="R66" i="1"/>
  <c r="S66" i="1"/>
  <c r="M67" i="1"/>
  <c r="N67" i="1"/>
  <c r="O67" i="1"/>
  <c r="P67" i="1"/>
  <c r="Q67" i="1"/>
  <c r="R67" i="1"/>
  <c r="S67" i="1"/>
  <c r="M68" i="1"/>
  <c r="N68" i="1"/>
  <c r="O68" i="1"/>
  <c r="P68" i="1"/>
  <c r="Q68" i="1"/>
  <c r="R68" i="1"/>
  <c r="S68" i="1"/>
  <c r="M69" i="1"/>
  <c r="N69" i="1"/>
  <c r="O69" i="1"/>
  <c r="P69" i="1"/>
  <c r="Q69" i="1"/>
  <c r="R69" i="1"/>
  <c r="S69" i="1"/>
  <c r="M70" i="1"/>
  <c r="N70" i="1"/>
  <c r="O70" i="1"/>
  <c r="P70" i="1"/>
  <c r="Q70" i="1"/>
  <c r="R70" i="1"/>
  <c r="S70" i="1"/>
  <c r="M71" i="1"/>
  <c r="N71" i="1"/>
  <c r="O71" i="1"/>
  <c r="P71" i="1"/>
  <c r="Q71" i="1"/>
  <c r="R71" i="1"/>
  <c r="S71" i="1"/>
  <c r="M72" i="1"/>
  <c r="N72" i="1"/>
  <c r="O72" i="1"/>
  <c r="P72" i="1"/>
  <c r="Q72" i="1"/>
  <c r="R72" i="1"/>
  <c r="S72" i="1"/>
  <c r="M73" i="1"/>
  <c r="N73" i="1"/>
  <c r="O73" i="1"/>
  <c r="P73" i="1"/>
  <c r="Q73" i="1"/>
  <c r="R73" i="1"/>
  <c r="S73" i="1"/>
  <c r="M74" i="1"/>
  <c r="N74" i="1"/>
  <c r="O74" i="1"/>
  <c r="P74" i="1"/>
  <c r="Q74" i="1"/>
  <c r="R74" i="1"/>
  <c r="S74" i="1"/>
  <c r="M75" i="1"/>
  <c r="N75" i="1"/>
  <c r="O75" i="1"/>
  <c r="P75" i="1"/>
  <c r="Q75" i="1"/>
  <c r="R75" i="1"/>
  <c r="S75" i="1"/>
  <c r="M76" i="1"/>
  <c r="N76" i="1"/>
  <c r="O76" i="1"/>
  <c r="P76" i="1"/>
  <c r="Q76" i="1"/>
  <c r="R76" i="1"/>
  <c r="S76" i="1"/>
  <c r="M77" i="1"/>
  <c r="N77" i="1"/>
  <c r="O77" i="1"/>
  <c r="P77" i="1"/>
  <c r="Q77" i="1"/>
  <c r="R77" i="1"/>
  <c r="S77" i="1"/>
  <c r="M78" i="1"/>
  <c r="N78" i="1"/>
  <c r="O78" i="1"/>
  <c r="P78" i="1"/>
  <c r="Q78" i="1"/>
  <c r="R78" i="1"/>
  <c r="S78" i="1"/>
  <c r="M79" i="1"/>
  <c r="N79" i="1"/>
  <c r="O79" i="1"/>
  <c r="P79" i="1"/>
  <c r="Q79" i="1"/>
  <c r="R79" i="1"/>
  <c r="S79" i="1"/>
  <c r="M80" i="1"/>
  <c r="N80" i="1"/>
  <c r="O80" i="1"/>
  <c r="P80" i="1"/>
  <c r="Q80" i="1"/>
  <c r="R80" i="1"/>
  <c r="S80" i="1"/>
  <c r="M81" i="1"/>
  <c r="N81" i="1"/>
  <c r="O81" i="1"/>
  <c r="P81" i="1"/>
  <c r="Q81" i="1"/>
  <c r="R81" i="1"/>
  <c r="S81" i="1"/>
  <c r="M82" i="1"/>
  <c r="N82" i="1"/>
  <c r="O82" i="1"/>
  <c r="P82" i="1"/>
  <c r="Q82" i="1"/>
  <c r="R82" i="1"/>
  <c r="S82" i="1"/>
  <c r="M83" i="1"/>
  <c r="N83" i="1"/>
  <c r="O83" i="1"/>
  <c r="P83" i="1"/>
  <c r="Q83" i="1"/>
  <c r="R83" i="1"/>
  <c r="S83" i="1"/>
  <c r="M84" i="1"/>
  <c r="N84" i="1"/>
  <c r="O84" i="1"/>
  <c r="P84" i="1"/>
  <c r="Q84" i="1"/>
  <c r="R84" i="1"/>
  <c r="S84" i="1"/>
  <c r="M85" i="1"/>
  <c r="N85" i="1"/>
  <c r="O85" i="1"/>
  <c r="P85" i="1"/>
  <c r="Q85" i="1"/>
  <c r="R85" i="1"/>
  <c r="S85" i="1"/>
  <c r="M86" i="1"/>
  <c r="N86" i="1"/>
  <c r="O86" i="1"/>
  <c r="P86" i="1"/>
  <c r="Q86" i="1"/>
  <c r="R86" i="1"/>
  <c r="S86" i="1"/>
  <c r="M87" i="1"/>
  <c r="N87" i="1"/>
  <c r="O87" i="1"/>
  <c r="P87" i="1"/>
  <c r="Q87" i="1"/>
  <c r="R87" i="1"/>
  <c r="S87" i="1"/>
  <c r="M88" i="1"/>
  <c r="N88" i="1"/>
  <c r="O88" i="1"/>
  <c r="P88" i="1"/>
  <c r="Q88" i="1"/>
  <c r="R88" i="1"/>
  <c r="S88" i="1"/>
  <c r="M89" i="1"/>
  <c r="N89" i="1"/>
  <c r="O89" i="1"/>
  <c r="P89" i="1"/>
  <c r="Q89" i="1"/>
  <c r="R89" i="1"/>
  <c r="S89" i="1"/>
  <c r="M90" i="1"/>
  <c r="N90" i="1"/>
  <c r="O90" i="1"/>
  <c r="P90" i="1"/>
  <c r="Q90" i="1"/>
  <c r="R90" i="1"/>
  <c r="S90" i="1"/>
  <c r="M91" i="1"/>
  <c r="N91" i="1"/>
  <c r="O91" i="1"/>
  <c r="P91" i="1"/>
  <c r="Q91" i="1"/>
  <c r="R91" i="1"/>
  <c r="S91" i="1"/>
  <c r="M92" i="1"/>
  <c r="N92" i="1"/>
  <c r="O92" i="1"/>
  <c r="P92" i="1"/>
  <c r="Q92" i="1"/>
  <c r="R92" i="1"/>
  <c r="S92" i="1"/>
  <c r="M93" i="1"/>
  <c r="N93" i="1"/>
  <c r="O93" i="1"/>
  <c r="P93" i="1"/>
  <c r="Q93" i="1"/>
  <c r="R93" i="1"/>
  <c r="S93" i="1"/>
  <c r="M94" i="1"/>
  <c r="N94" i="1"/>
  <c r="O94" i="1"/>
  <c r="P94" i="1"/>
  <c r="Q94" i="1"/>
  <c r="R94" i="1"/>
  <c r="S94" i="1"/>
  <c r="M95" i="1"/>
  <c r="N95" i="1"/>
  <c r="O95" i="1"/>
  <c r="P95" i="1"/>
  <c r="Q95" i="1"/>
  <c r="R95" i="1"/>
  <c r="S95" i="1"/>
  <c r="M96" i="1"/>
  <c r="N96" i="1"/>
  <c r="O96" i="1"/>
  <c r="P96" i="1"/>
  <c r="Q96" i="1"/>
  <c r="R96" i="1"/>
  <c r="S96" i="1"/>
  <c r="M97" i="1"/>
  <c r="N97" i="1"/>
  <c r="O97" i="1"/>
  <c r="P97" i="1"/>
  <c r="Q97" i="1"/>
  <c r="R97" i="1"/>
  <c r="S97" i="1"/>
  <c r="M98" i="1"/>
  <c r="N98" i="1"/>
  <c r="O98" i="1"/>
  <c r="P98" i="1"/>
  <c r="Q98" i="1"/>
  <c r="R98" i="1"/>
  <c r="S98" i="1"/>
  <c r="M99" i="1"/>
  <c r="N99" i="1"/>
  <c r="O99" i="1"/>
  <c r="P99" i="1"/>
  <c r="Q99" i="1"/>
  <c r="R99" i="1"/>
  <c r="S99" i="1"/>
  <c r="M100" i="1"/>
  <c r="N100" i="1"/>
  <c r="O100" i="1"/>
  <c r="P100" i="1"/>
  <c r="Q100" i="1"/>
  <c r="R100" i="1"/>
  <c r="S100" i="1"/>
  <c r="M101" i="1"/>
  <c r="N101" i="1"/>
  <c r="O101" i="1"/>
  <c r="P101" i="1"/>
  <c r="Q101" i="1"/>
  <c r="R101" i="1"/>
  <c r="S101" i="1"/>
  <c r="M102" i="1"/>
  <c r="N102" i="1"/>
  <c r="O102" i="1"/>
  <c r="P102" i="1"/>
  <c r="Q102" i="1"/>
  <c r="R102" i="1"/>
  <c r="S102" i="1"/>
  <c r="M103" i="1"/>
  <c r="N103" i="1"/>
  <c r="O103" i="1"/>
  <c r="P103" i="1"/>
  <c r="Q103" i="1"/>
  <c r="R103" i="1"/>
  <c r="S103" i="1"/>
  <c r="M104" i="1"/>
  <c r="N104" i="1"/>
  <c r="O104" i="1"/>
  <c r="P104" i="1"/>
  <c r="Q104" i="1"/>
  <c r="R104" i="1"/>
  <c r="S104" i="1"/>
  <c r="M105" i="1"/>
  <c r="N105" i="1"/>
  <c r="O105" i="1"/>
  <c r="P105" i="1"/>
  <c r="Q105" i="1"/>
  <c r="R105" i="1"/>
  <c r="S105" i="1"/>
  <c r="M106" i="1"/>
  <c r="N106" i="1"/>
  <c r="O106" i="1"/>
  <c r="P106" i="1"/>
  <c r="Q106" i="1"/>
  <c r="R106" i="1"/>
  <c r="S106" i="1"/>
  <c r="M107" i="1"/>
  <c r="N107" i="1"/>
  <c r="O107" i="1"/>
  <c r="P107" i="1"/>
  <c r="Q107" i="1"/>
  <c r="R107" i="1"/>
  <c r="S107" i="1"/>
  <c r="M108" i="1"/>
  <c r="N108" i="1"/>
  <c r="O108" i="1"/>
  <c r="P108" i="1"/>
  <c r="Q108" i="1"/>
  <c r="R108" i="1"/>
  <c r="S108" i="1"/>
  <c r="M109" i="1"/>
  <c r="N109" i="1"/>
  <c r="O109" i="1"/>
  <c r="P109" i="1"/>
  <c r="Q109" i="1"/>
  <c r="R109" i="1"/>
  <c r="S109" i="1"/>
  <c r="M110" i="1"/>
  <c r="N110" i="1"/>
  <c r="O110" i="1"/>
  <c r="P110" i="1"/>
  <c r="Q110" i="1"/>
  <c r="R110" i="1"/>
  <c r="S110" i="1"/>
  <c r="M111" i="1"/>
  <c r="N111" i="1"/>
  <c r="O111" i="1"/>
  <c r="P111" i="1"/>
  <c r="Q111" i="1"/>
  <c r="R111" i="1"/>
  <c r="S111" i="1"/>
  <c r="M112" i="1"/>
  <c r="N112" i="1"/>
  <c r="O112" i="1"/>
  <c r="P112" i="1"/>
  <c r="Q112" i="1"/>
  <c r="R112" i="1"/>
  <c r="S112" i="1"/>
  <c r="M113" i="1"/>
  <c r="N113" i="1"/>
  <c r="O113" i="1"/>
  <c r="P113" i="1"/>
  <c r="Q113" i="1"/>
  <c r="R113" i="1"/>
  <c r="S113" i="1"/>
  <c r="M114" i="1"/>
  <c r="N114" i="1"/>
  <c r="O114" i="1"/>
  <c r="P114" i="1"/>
  <c r="Q114" i="1"/>
  <c r="R114" i="1"/>
  <c r="S114" i="1"/>
  <c r="M115" i="1"/>
  <c r="N115" i="1"/>
  <c r="O115" i="1"/>
  <c r="P115" i="1"/>
  <c r="Q115" i="1"/>
  <c r="R115" i="1"/>
  <c r="S115" i="1"/>
  <c r="M116" i="1"/>
  <c r="N116" i="1"/>
  <c r="O116" i="1"/>
  <c r="P116" i="1"/>
  <c r="Q116" i="1"/>
  <c r="R116" i="1"/>
  <c r="S116" i="1"/>
  <c r="M117" i="1"/>
  <c r="N117" i="1"/>
  <c r="O117" i="1"/>
  <c r="P117" i="1"/>
  <c r="Q117" i="1"/>
  <c r="R117" i="1"/>
  <c r="S117" i="1"/>
  <c r="M118" i="1"/>
  <c r="N118" i="1"/>
  <c r="O118" i="1"/>
  <c r="P118" i="1"/>
  <c r="Q118" i="1"/>
  <c r="R118" i="1"/>
  <c r="S118" i="1"/>
  <c r="M119" i="1"/>
  <c r="N119" i="1"/>
  <c r="O119" i="1"/>
  <c r="P119" i="1"/>
  <c r="Q119" i="1"/>
  <c r="R119" i="1"/>
  <c r="S119" i="1"/>
  <c r="M120" i="1"/>
  <c r="N120" i="1"/>
  <c r="O120" i="1"/>
  <c r="P120" i="1"/>
  <c r="Q120" i="1"/>
  <c r="R120" i="1"/>
  <c r="S120" i="1"/>
  <c r="M121" i="1"/>
  <c r="N121" i="1"/>
  <c r="O121" i="1"/>
  <c r="P121" i="1"/>
  <c r="Q121" i="1"/>
  <c r="R121" i="1"/>
  <c r="S121" i="1"/>
  <c r="M122" i="1"/>
  <c r="N122" i="1"/>
  <c r="O122" i="1"/>
  <c r="P122" i="1"/>
  <c r="Q122" i="1"/>
  <c r="R122" i="1"/>
  <c r="S122" i="1"/>
  <c r="M123" i="1"/>
  <c r="N123" i="1"/>
  <c r="O123" i="1"/>
  <c r="P123" i="1"/>
  <c r="Q123" i="1"/>
  <c r="R123" i="1"/>
  <c r="S123" i="1"/>
  <c r="M124" i="1"/>
  <c r="N124" i="1"/>
  <c r="O124" i="1"/>
  <c r="P124" i="1"/>
  <c r="Q124" i="1"/>
  <c r="R124" i="1"/>
  <c r="S124" i="1"/>
  <c r="M125" i="1"/>
  <c r="N125" i="1"/>
  <c r="O125" i="1"/>
  <c r="P125" i="1"/>
  <c r="Q125" i="1"/>
  <c r="R125" i="1"/>
  <c r="S125" i="1"/>
  <c r="M126" i="1"/>
  <c r="N126" i="1"/>
  <c r="O126" i="1"/>
  <c r="P126" i="1"/>
  <c r="Q126" i="1"/>
  <c r="R126" i="1"/>
  <c r="S126" i="1"/>
  <c r="M127" i="1"/>
  <c r="N127" i="1"/>
  <c r="O127" i="1"/>
  <c r="P127" i="1"/>
  <c r="Q127" i="1"/>
  <c r="R127" i="1"/>
  <c r="S127" i="1"/>
  <c r="M128" i="1"/>
  <c r="N128" i="1"/>
  <c r="O128" i="1"/>
  <c r="P128" i="1"/>
  <c r="Q128" i="1"/>
  <c r="R128" i="1"/>
  <c r="S128" i="1"/>
  <c r="M129" i="1"/>
  <c r="N129" i="1"/>
  <c r="O129" i="1"/>
  <c r="P129" i="1"/>
  <c r="Q129" i="1"/>
  <c r="R129" i="1"/>
  <c r="S129" i="1"/>
  <c r="M130" i="1"/>
  <c r="N130" i="1"/>
  <c r="O130" i="1"/>
  <c r="P130" i="1"/>
  <c r="Q130" i="1"/>
  <c r="R130" i="1"/>
  <c r="S130" i="1"/>
  <c r="M131" i="1"/>
  <c r="N131" i="1"/>
  <c r="O131" i="1"/>
  <c r="P131" i="1"/>
  <c r="Q131" i="1"/>
  <c r="R131" i="1"/>
  <c r="S131" i="1"/>
  <c r="M132" i="1"/>
  <c r="N132" i="1"/>
  <c r="O132" i="1"/>
  <c r="P132" i="1"/>
  <c r="Q132" i="1"/>
  <c r="R132" i="1"/>
  <c r="S132" i="1"/>
  <c r="M133" i="1"/>
  <c r="N133" i="1"/>
  <c r="O133" i="1"/>
  <c r="P133" i="1"/>
  <c r="Q133" i="1"/>
  <c r="R133" i="1"/>
  <c r="S133" i="1"/>
  <c r="M134" i="1"/>
  <c r="N134" i="1"/>
  <c r="O134" i="1"/>
  <c r="P134" i="1"/>
  <c r="Q134" i="1"/>
  <c r="R134" i="1"/>
  <c r="S134" i="1"/>
  <c r="M135" i="1"/>
  <c r="N135" i="1"/>
  <c r="O135" i="1"/>
  <c r="P135" i="1"/>
  <c r="Q135" i="1"/>
  <c r="R135" i="1"/>
  <c r="S135" i="1"/>
  <c r="M136" i="1"/>
  <c r="N136" i="1"/>
  <c r="O136" i="1"/>
  <c r="P136" i="1"/>
  <c r="Q136" i="1"/>
  <c r="R136" i="1"/>
  <c r="S136" i="1"/>
  <c r="M137" i="1"/>
  <c r="N137" i="1"/>
  <c r="O137" i="1"/>
  <c r="P137" i="1"/>
  <c r="Q137" i="1"/>
  <c r="R137" i="1"/>
  <c r="S137" i="1"/>
  <c r="M138" i="1"/>
  <c r="N138" i="1"/>
  <c r="O138" i="1"/>
  <c r="P138" i="1"/>
  <c r="Q138" i="1"/>
  <c r="R138" i="1"/>
  <c r="S138" i="1"/>
  <c r="M139" i="1"/>
  <c r="N139" i="1"/>
  <c r="O139" i="1"/>
  <c r="P139" i="1"/>
  <c r="Q139" i="1"/>
  <c r="R139" i="1"/>
  <c r="S139" i="1"/>
  <c r="M140" i="1"/>
  <c r="N140" i="1"/>
  <c r="O140" i="1"/>
  <c r="P140" i="1"/>
  <c r="Q140" i="1"/>
  <c r="R140" i="1"/>
  <c r="S140" i="1"/>
  <c r="M141" i="1"/>
  <c r="N141" i="1"/>
  <c r="O141" i="1"/>
  <c r="P141" i="1"/>
  <c r="Q141" i="1"/>
  <c r="R141" i="1"/>
  <c r="S141" i="1"/>
  <c r="M142" i="1"/>
  <c r="N142" i="1"/>
  <c r="O142" i="1"/>
  <c r="P142" i="1"/>
  <c r="Q142" i="1"/>
  <c r="R142" i="1"/>
  <c r="S142" i="1"/>
  <c r="M143" i="1"/>
  <c r="N143" i="1"/>
  <c r="O143" i="1"/>
  <c r="P143" i="1"/>
  <c r="Q143" i="1"/>
  <c r="R143" i="1"/>
  <c r="S143" i="1"/>
  <c r="M144" i="1"/>
  <c r="N144" i="1"/>
  <c r="O144" i="1"/>
  <c r="P144" i="1"/>
  <c r="Q144" i="1"/>
  <c r="R144" i="1"/>
  <c r="S144" i="1"/>
  <c r="M145" i="1"/>
  <c r="N145" i="1"/>
  <c r="O145" i="1"/>
  <c r="P145" i="1"/>
  <c r="Q145" i="1"/>
  <c r="R145" i="1"/>
  <c r="S145" i="1"/>
  <c r="M146" i="1"/>
  <c r="N146" i="1"/>
  <c r="O146" i="1"/>
  <c r="P146" i="1"/>
  <c r="Q146" i="1"/>
  <c r="R146" i="1"/>
  <c r="S146" i="1"/>
  <c r="M147" i="1"/>
  <c r="N147" i="1"/>
  <c r="O147" i="1"/>
  <c r="P147" i="1"/>
  <c r="Q147" i="1"/>
  <c r="R147" i="1"/>
  <c r="S147" i="1"/>
  <c r="M148" i="1"/>
  <c r="N148" i="1"/>
  <c r="O148" i="1"/>
  <c r="P148" i="1"/>
  <c r="Q148" i="1"/>
  <c r="R148" i="1"/>
  <c r="S148" i="1"/>
  <c r="M149" i="1"/>
  <c r="N149" i="1"/>
  <c r="O149" i="1"/>
  <c r="P149" i="1"/>
  <c r="Q149" i="1"/>
  <c r="R149" i="1"/>
  <c r="S149" i="1"/>
  <c r="M150" i="1"/>
  <c r="N150" i="1"/>
  <c r="O150" i="1"/>
  <c r="P150" i="1"/>
  <c r="Q150" i="1"/>
  <c r="R150" i="1"/>
  <c r="S150" i="1"/>
  <c r="M151" i="1"/>
  <c r="N151" i="1"/>
  <c r="O151" i="1"/>
  <c r="P151" i="1"/>
  <c r="Q151" i="1"/>
  <c r="R151" i="1"/>
  <c r="S151" i="1"/>
  <c r="M152" i="1"/>
  <c r="N152" i="1"/>
  <c r="O152" i="1"/>
  <c r="P152" i="1"/>
  <c r="Q152" i="1"/>
  <c r="R152" i="1"/>
  <c r="S152" i="1"/>
  <c r="M153" i="1"/>
  <c r="N153" i="1"/>
  <c r="O153" i="1"/>
  <c r="P153" i="1"/>
  <c r="Q153" i="1"/>
  <c r="R153" i="1"/>
  <c r="S153" i="1"/>
  <c r="M154" i="1"/>
  <c r="N154" i="1"/>
  <c r="O154" i="1"/>
  <c r="P154" i="1"/>
  <c r="Q154" i="1"/>
  <c r="R154" i="1"/>
  <c r="S154" i="1"/>
  <c r="M155" i="1"/>
  <c r="N155" i="1"/>
  <c r="O155" i="1"/>
  <c r="P155" i="1"/>
  <c r="Q155" i="1"/>
  <c r="R155" i="1"/>
  <c r="S155" i="1"/>
  <c r="M156" i="1"/>
  <c r="N156" i="1"/>
  <c r="O156" i="1"/>
  <c r="P156" i="1"/>
  <c r="Q156" i="1"/>
  <c r="R156" i="1"/>
  <c r="S156" i="1"/>
  <c r="M157" i="1"/>
  <c r="N157" i="1"/>
  <c r="O157" i="1"/>
  <c r="P157" i="1"/>
  <c r="Q157" i="1"/>
  <c r="R157" i="1"/>
  <c r="S157" i="1"/>
  <c r="M158" i="1"/>
  <c r="N158" i="1"/>
  <c r="O158" i="1"/>
  <c r="P158" i="1"/>
  <c r="Q158" i="1"/>
  <c r="R158" i="1"/>
  <c r="S158" i="1"/>
  <c r="M159" i="1"/>
  <c r="N159" i="1"/>
  <c r="O159" i="1"/>
  <c r="P159" i="1"/>
  <c r="Q159" i="1"/>
  <c r="R159" i="1"/>
  <c r="S159" i="1"/>
  <c r="M160" i="1"/>
  <c r="N160" i="1"/>
  <c r="O160" i="1"/>
  <c r="P160" i="1"/>
  <c r="Q160" i="1"/>
  <c r="R160" i="1"/>
  <c r="S160" i="1"/>
  <c r="M161" i="1"/>
  <c r="N161" i="1"/>
  <c r="O161" i="1"/>
  <c r="P161" i="1"/>
  <c r="Q161" i="1"/>
  <c r="R161" i="1"/>
  <c r="S161" i="1"/>
  <c r="M162" i="1"/>
  <c r="N162" i="1"/>
  <c r="O162" i="1"/>
  <c r="P162" i="1"/>
  <c r="Q162" i="1"/>
  <c r="R162" i="1"/>
  <c r="S162" i="1"/>
  <c r="M163" i="1"/>
  <c r="N163" i="1"/>
  <c r="O163" i="1"/>
  <c r="P163" i="1"/>
  <c r="Q163" i="1"/>
  <c r="R163" i="1"/>
  <c r="S163" i="1"/>
  <c r="M164" i="1"/>
  <c r="N164" i="1"/>
  <c r="O164" i="1"/>
  <c r="P164" i="1"/>
  <c r="Q164" i="1"/>
  <c r="R164" i="1"/>
  <c r="S164" i="1"/>
  <c r="M165" i="1"/>
  <c r="N165" i="1"/>
  <c r="O165" i="1"/>
  <c r="P165" i="1"/>
  <c r="Q165" i="1"/>
  <c r="R165" i="1"/>
  <c r="S165" i="1"/>
  <c r="M166" i="1"/>
  <c r="N166" i="1"/>
  <c r="O166" i="1"/>
  <c r="P166" i="1"/>
  <c r="Q166" i="1"/>
  <c r="R166" i="1"/>
  <c r="S166" i="1"/>
  <c r="M167" i="1"/>
  <c r="N167" i="1"/>
  <c r="O167" i="1"/>
  <c r="P167" i="1"/>
  <c r="Q167" i="1"/>
  <c r="R167" i="1"/>
  <c r="S167" i="1"/>
  <c r="M168" i="1"/>
  <c r="N168" i="1"/>
  <c r="O168" i="1"/>
  <c r="P168" i="1"/>
  <c r="Q168" i="1"/>
  <c r="R168" i="1"/>
  <c r="S168" i="1"/>
  <c r="M169" i="1"/>
  <c r="N169" i="1"/>
  <c r="O169" i="1"/>
  <c r="P169" i="1"/>
  <c r="Q169" i="1"/>
  <c r="R169" i="1"/>
  <c r="S169" i="1"/>
  <c r="M170" i="1"/>
  <c r="N170" i="1"/>
  <c r="O170" i="1"/>
  <c r="P170" i="1"/>
  <c r="Q170" i="1"/>
  <c r="R170" i="1"/>
  <c r="S170" i="1"/>
  <c r="M171" i="1"/>
  <c r="N171" i="1"/>
  <c r="O171" i="1"/>
  <c r="P171" i="1"/>
  <c r="Q171" i="1"/>
  <c r="R171" i="1"/>
  <c r="S171" i="1"/>
  <c r="M172" i="1"/>
  <c r="N172" i="1"/>
  <c r="O172" i="1"/>
  <c r="P172" i="1"/>
  <c r="Q172" i="1"/>
  <c r="R172" i="1"/>
  <c r="S172" i="1"/>
  <c r="M173" i="1"/>
  <c r="N173" i="1"/>
  <c r="O173" i="1"/>
  <c r="P173" i="1"/>
  <c r="Q173" i="1"/>
  <c r="R173" i="1"/>
  <c r="S173" i="1"/>
  <c r="M174" i="1"/>
  <c r="N174" i="1"/>
  <c r="O174" i="1"/>
  <c r="P174" i="1"/>
  <c r="Q174" i="1"/>
  <c r="R174" i="1"/>
  <c r="S174" i="1"/>
  <c r="M175" i="1"/>
  <c r="N175" i="1"/>
  <c r="O175" i="1"/>
  <c r="P175" i="1"/>
  <c r="Q175" i="1"/>
  <c r="R175" i="1"/>
  <c r="S175" i="1"/>
  <c r="M176" i="1"/>
  <c r="N176" i="1"/>
  <c r="O176" i="1"/>
  <c r="P176" i="1"/>
  <c r="Q176" i="1"/>
  <c r="R176" i="1"/>
  <c r="S176" i="1"/>
  <c r="M177" i="1"/>
  <c r="N177" i="1"/>
  <c r="O177" i="1"/>
  <c r="P177" i="1"/>
  <c r="Q177" i="1"/>
  <c r="R177" i="1"/>
  <c r="S177" i="1"/>
  <c r="M178" i="1"/>
  <c r="N178" i="1"/>
  <c r="O178" i="1"/>
  <c r="P178" i="1"/>
  <c r="Q178" i="1"/>
  <c r="R178" i="1"/>
  <c r="S178" i="1"/>
  <c r="M179" i="1"/>
  <c r="N179" i="1"/>
  <c r="O179" i="1"/>
  <c r="P179" i="1"/>
  <c r="Q179" i="1"/>
  <c r="R179" i="1"/>
  <c r="S179" i="1"/>
  <c r="M180" i="1"/>
  <c r="N180" i="1"/>
  <c r="O180" i="1"/>
  <c r="P180" i="1"/>
  <c r="Q180" i="1"/>
  <c r="R180" i="1"/>
  <c r="S180" i="1"/>
  <c r="M181" i="1"/>
  <c r="N181" i="1"/>
  <c r="O181" i="1"/>
  <c r="P181" i="1"/>
  <c r="Q181" i="1"/>
  <c r="R181" i="1"/>
  <c r="S181" i="1"/>
  <c r="M182" i="1"/>
  <c r="N182" i="1"/>
  <c r="O182" i="1"/>
  <c r="P182" i="1"/>
  <c r="Q182" i="1"/>
  <c r="R182" i="1"/>
  <c r="S182" i="1"/>
  <c r="M183" i="1"/>
  <c r="N183" i="1"/>
  <c r="O183" i="1"/>
  <c r="P183" i="1"/>
  <c r="Q183" i="1"/>
  <c r="R183" i="1"/>
  <c r="S183" i="1"/>
  <c r="M184" i="1"/>
  <c r="N184" i="1"/>
  <c r="O184" i="1"/>
  <c r="P184" i="1"/>
  <c r="Q184" i="1"/>
  <c r="R184" i="1"/>
  <c r="S184" i="1"/>
  <c r="M185" i="1"/>
  <c r="N185" i="1"/>
  <c r="O185" i="1"/>
  <c r="P185" i="1"/>
  <c r="Q185" i="1"/>
  <c r="R185" i="1"/>
  <c r="S185" i="1"/>
  <c r="M186" i="1"/>
  <c r="N186" i="1"/>
  <c r="O186" i="1"/>
  <c r="P186" i="1"/>
  <c r="Q186" i="1"/>
  <c r="R186" i="1"/>
  <c r="S186" i="1"/>
  <c r="M187" i="1"/>
  <c r="N187" i="1"/>
  <c r="O187" i="1"/>
  <c r="P187" i="1"/>
  <c r="Q187" i="1"/>
  <c r="R187" i="1"/>
  <c r="S187" i="1"/>
  <c r="M188" i="1"/>
  <c r="N188" i="1"/>
  <c r="O188" i="1"/>
  <c r="P188" i="1"/>
  <c r="Q188" i="1"/>
  <c r="R188" i="1"/>
  <c r="S188" i="1"/>
  <c r="M189" i="1"/>
  <c r="N189" i="1"/>
  <c r="O189" i="1"/>
  <c r="P189" i="1"/>
  <c r="Q189" i="1"/>
  <c r="R189" i="1"/>
  <c r="S189" i="1"/>
  <c r="M190" i="1"/>
  <c r="N190" i="1"/>
  <c r="O190" i="1"/>
  <c r="P190" i="1"/>
  <c r="Q190" i="1"/>
  <c r="R190" i="1"/>
  <c r="S190" i="1"/>
  <c r="M191" i="1"/>
  <c r="N191" i="1"/>
  <c r="O191" i="1"/>
  <c r="P191" i="1"/>
  <c r="Q191" i="1"/>
  <c r="R191" i="1"/>
  <c r="S191" i="1"/>
  <c r="M192" i="1"/>
  <c r="N192" i="1"/>
  <c r="O192" i="1"/>
  <c r="P192" i="1"/>
  <c r="Q192" i="1"/>
  <c r="R192" i="1"/>
  <c r="S192" i="1"/>
  <c r="M193" i="1"/>
  <c r="N193" i="1"/>
  <c r="O193" i="1"/>
  <c r="P193" i="1"/>
  <c r="Q193" i="1"/>
  <c r="R193" i="1"/>
  <c r="S193" i="1"/>
  <c r="M194" i="1"/>
  <c r="N194" i="1"/>
  <c r="O194" i="1"/>
  <c r="P194" i="1"/>
  <c r="Q194" i="1"/>
  <c r="R194" i="1"/>
  <c r="S194" i="1"/>
  <c r="M195" i="1"/>
  <c r="N195" i="1"/>
  <c r="O195" i="1"/>
  <c r="P195" i="1"/>
  <c r="Q195" i="1"/>
  <c r="R195" i="1"/>
  <c r="S195" i="1"/>
  <c r="M196" i="1"/>
  <c r="N196" i="1"/>
  <c r="O196" i="1"/>
  <c r="P196" i="1"/>
  <c r="Q196" i="1"/>
  <c r="R196" i="1"/>
  <c r="S196" i="1"/>
  <c r="M197" i="1"/>
  <c r="N197" i="1"/>
  <c r="O197" i="1"/>
  <c r="P197" i="1"/>
  <c r="Q197" i="1"/>
  <c r="R197" i="1"/>
  <c r="S197" i="1"/>
  <c r="M198" i="1"/>
  <c r="N198" i="1"/>
  <c r="O198" i="1"/>
  <c r="P198" i="1"/>
  <c r="Q198" i="1"/>
  <c r="R198" i="1"/>
  <c r="S198" i="1"/>
  <c r="M199" i="1"/>
  <c r="N199" i="1"/>
  <c r="O199" i="1"/>
  <c r="P199" i="1"/>
  <c r="Q199" i="1"/>
  <c r="R199" i="1"/>
  <c r="S199" i="1"/>
  <c r="M200" i="1"/>
  <c r="N200" i="1"/>
  <c r="O200" i="1"/>
  <c r="P200" i="1"/>
  <c r="Q200" i="1"/>
  <c r="R200" i="1"/>
  <c r="S200" i="1"/>
  <c r="M201" i="1"/>
  <c r="N201" i="1"/>
  <c r="O201" i="1"/>
  <c r="P201" i="1"/>
  <c r="Q201" i="1"/>
  <c r="R201" i="1"/>
  <c r="S201" i="1"/>
  <c r="M202" i="1"/>
  <c r="N202" i="1"/>
  <c r="O202" i="1"/>
  <c r="P202" i="1"/>
  <c r="Q202" i="1"/>
  <c r="R202" i="1"/>
  <c r="S202" i="1"/>
  <c r="M203" i="1"/>
  <c r="N203" i="1"/>
  <c r="O203" i="1"/>
  <c r="P203" i="1"/>
  <c r="Q203" i="1"/>
  <c r="R203" i="1"/>
  <c r="S203" i="1"/>
  <c r="M204" i="1"/>
  <c r="N204" i="1"/>
  <c r="O204" i="1"/>
  <c r="P204" i="1"/>
  <c r="Q204" i="1"/>
  <c r="R204" i="1"/>
  <c r="S204" i="1"/>
  <c r="M205" i="1"/>
  <c r="N205" i="1"/>
  <c r="O205" i="1"/>
  <c r="P205" i="1"/>
  <c r="Q205" i="1"/>
  <c r="R205" i="1"/>
  <c r="S205" i="1"/>
  <c r="M206" i="1"/>
  <c r="N206" i="1"/>
  <c r="O206" i="1"/>
  <c r="P206" i="1"/>
  <c r="Q206" i="1"/>
  <c r="R206" i="1"/>
  <c r="S206" i="1"/>
  <c r="M207" i="1"/>
  <c r="N207" i="1"/>
  <c r="O207" i="1"/>
  <c r="P207" i="1"/>
  <c r="Q207" i="1"/>
  <c r="R207" i="1"/>
  <c r="S207" i="1"/>
  <c r="M208" i="1"/>
  <c r="N208" i="1"/>
  <c r="O208" i="1"/>
  <c r="P208" i="1"/>
  <c r="Q208" i="1"/>
  <c r="R208" i="1"/>
  <c r="S208" i="1"/>
  <c r="M209" i="1"/>
  <c r="N209" i="1"/>
  <c r="O209" i="1"/>
  <c r="P209" i="1"/>
  <c r="Q209" i="1"/>
  <c r="R209" i="1"/>
  <c r="S209" i="1"/>
  <c r="M210" i="1"/>
  <c r="N210" i="1"/>
  <c r="O210" i="1"/>
  <c r="P210" i="1"/>
  <c r="Q210" i="1"/>
  <c r="R210" i="1"/>
  <c r="S210" i="1"/>
  <c r="M211" i="1"/>
  <c r="N211" i="1"/>
  <c r="O211" i="1"/>
  <c r="P211" i="1"/>
  <c r="Q211" i="1"/>
  <c r="R211" i="1"/>
  <c r="S211" i="1"/>
  <c r="M212" i="1"/>
  <c r="N212" i="1"/>
  <c r="O212" i="1"/>
  <c r="P212" i="1"/>
  <c r="Q212" i="1"/>
  <c r="R212" i="1"/>
  <c r="S212" i="1"/>
  <c r="M213" i="1"/>
  <c r="N213" i="1"/>
  <c r="O213" i="1"/>
  <c r="P213" i="1"/>
  <c r="Q213" i="1"/>
  <c r="R213" i="1"/>
  <c r="S213" i="1"/>
  <c r="M214" i="1"/>
  <c r="N214" i="1"/>
  <c r="O214" i="1"/>
  <c r="P214" i="1"/>
  <c r="Q214" i="1"/>
  <c r="R214" i="1"/>
  <c r="S214" i="1"/>
  <c r="M215" i="1"/>
  <c r="N215" i="1"/>
  <c r="O215" i="1"/>
  <c r="P215" i="1"/>
  <c r="Q215" i="1"/>
  <c r="R215" i="1"/>
  <c r="S215" i="1"/>
  <c r="M216" i="1"/>
  <c r="N216" i="1"/>
  <c r="O216" i="1"/>
  <c r="P216" i="1"/>
  <c r="Q216" i="1"/>
  <c r="R216" i="1"/>
  <c r="S216" i="1"/>
  <c r="M217" i="1"/>
  <c r="N217" i="1"/>
  <c r="O217" i="1"/>
  <c r="P217" i="1"/>
  <c r="Q217" i="1"/>
  <c r="R217" i="1"/>
  <c r="S217" i="1"/>
  <c r="M218" i="1"/>
  <c r="N218" i="1"/>
  <c r="O218" i="1"/>
  <c r="P218" i="1"/>
  <c r="Q218" i="1"/>
  <c r="R218" i="1"/>
  <c r="S218" i="1"/>
  <c r="M219" i="1"/>
  <c r="N219" i="1"/>
  <c r="O219" i="1"/>
  <c r="P219" i="1"/>
  <c r="Q219" i="1"/>
  <c r="R219" i="1"/>
  <c r="S219" i="1"/>
  <c r="M220" i="1"/>
  <c r="N220" i="1"/>
  <c r="O220" i="1"/>
  <c r="P220" i="1"/>
  <c r="Q220" i="1"/>
  <c r="R220" i="1"/>
  <c r="S220" i="1"/>
  <c r="M221" i="1"/>
  <c r="N221" i="1"/>
  <c r="O221" i="1"/>
  <c r="P221" i="1"/>
  <c r="Q221" i="1"/>
  <c r="R221" i="1"/>
  <c r="S221" i="1"/>
  <c r="M222" i="1"/>
  <c r="N222" i="1"/>
  <c r="O222" i="1"/>
  <c r="P222" i="1"/>
  <c r="Q222" i="1"/>
  <c r="R222" i="1"/>
  <c r="S222" i="1"/>
  <c r="M223" i="1"/>
  <c r="N223" i="1"/>
  <c r="O223" i="1"/>
  <c r="P223" i="1"/>
  <c r="Q223" i="1"/>
  <c r="R223" i="1"/>
  <c r="S223" i="1"/>
  <c r="M224" i="1"/>
  <c r="N224" i="1"/>
  <c r="O224" i="1"/>
  <c r="P224" i="1"/>
  <c r="Q224" i="1"/>
  <c r="R224" i="1"/>
  <c r="S224" i="1"/>
  <c r="M225" i="1"/>
  <c r="N225" i="1"/>
  <c r="O225" i="1"/>
  <c r="P225" i="1"/>
  <c r="Q225" i="1"/>
  <c r="R225" i="1"/>
  <c r="S225" i="1"/>
  <c r="M226" i="1"/>
  <c r="N226" i="1"/>
  <c r="O226" i="1"/>
  <c r="P226" i="1"/>
  <c r="Q226" i="1"/>
  <c r="R226" i="1"/>
  <c r="S226" i="1"/>
  <c r="M227" i="1"/>
  <c r="N227" i="1"/>
  <c r="O227" i="1"/>
  <c r="P227" i="1"/>
  <c r="Q227" i="1"/>
  <c r="R227" i="1"/>
  <c r="S227" i="1"/>
  <c r="M228" i="1"/>
  <c r="N228" i="1"/>
  <c r="O228" i="1"/>
  <c r="P228" i="1"/>
  <c r="Q228" i="1"/>
  <c r="R228" i="1"/>
  <c r="S228" i="1"/>
  <c r="M229" i="1"/>
  <c r="N229" i="1"/>
  <c r="O229" i="1"/>
  <c r="P229" i="1"/>
  <c r="Q229" i="1"/>
  <c r="R229" i="1"/>
  <c r="S229" i="1"/>
  <c r="M230" i="1"/>
  <c r="N230" i="1"/>
  <c r="O230" i="1"/>
  <c r="P230" i="1"/>
  <c r="Q230" i="1"/>
  <c r="R230" i="1"/>
  <c r="S230" i="1"/>
  <c r="M231" i="1"/>
  <c r="N231" i="1"/>
  <c r="O231" i="1"/>
  <c r="P231" i="1"/>
  <c r="Q231" i="1"/>
  <c r="R231" i="1"/>
  <c r="S231" i="1"/>
  <c r="M232" i="1"/>
  <c r="N232" i="1"/>
  <c r="O232" i="1"/>
  <c r="P232" i="1"/>
  <c r="Q232" i="1"/>
  <c r="R232" i="1"/>
  <c r="S232" i="1"/>
  <c r="M233" i="1"/>
  <c r="N233" i="1"/>
  <c r="O233" i="1"/>
  <c r="P233" i="1"/>
  <c r="Q233" i="1"/>
  <c r="R233" i="1"/>
  <c r="S233" i="1"/>
  <c r="M234" i="1"/>
  <c r="N234" i="1"/>
  <c r="O234" i="1"/>
  <c r="P234" i="1"/>
  <c r="Q234" i="1"/>
  <c r="R234" i="1"/>
  <c r="S234" i="1"/>
  <c r="M235" i="1"/>
  <c r="N235" i="1"/>
  <c r="O235" i="1"/>
  <c r="P235" i="1"/>
  <c r="Q235" i="1"/>
  <c r="R235" i="1"/>
  <c r="S235" i="1"/>
  <c r="M236" i="1"/>
  <c r="N236" i="1"/>
  <c r="O236" i="1"/>
  <c r="P236" i="1"/>
  <c r="Q236" i="1"/>
  <c r="R236" i="1"/>
  <c r="S236" i="1"/>
  <c r="M237" i="1"/>
  <c r="N237" i="1"/>
  <c r="O237" i="1"/>
  <c r="P237" i="1"/>
  <c r="Q237" i="1"/>
  <c r="R237" i="1"/>
  <c r="S237" i="1"/>
  <c r="M238" i="1"/>
  <c r="N238" i="1"/>
  <c r="O238" i="1"/>
  <c r="P238" i="1"/>
  <c r="Q238" i="1"/>
  <c r="R238" i="1"/>
  <c r="S238" i="1"/>
  <c r="M239" i="1"/>
  <c r="N239" i="1"/>
  <c r="O239" i="1"/>
  <c r="P239" i="1"/>
  <c r="Q239" i="1"/>
  <c r="R239" i="1"/>
  <c r="S239" i="1"/>
  <c r="M240" i="1"/>
  <c r="N240" i="1"/>
  <c r="O240" i="1"/>
  <c r="P240" i="1"/>
  <c r="Q240" i="1"/>
  <c r="R240" i="1"/>
  <c r="S240" i="1"/>
  <c r="M241" i="1"/>
  <c r="N241" i="1"/>
  <c r="O241" i="1"/>
  <c r="P241" i="1"/>
  <c r="Q241" i="1"/>
  <c r="R241" i="1"/>
  <c r="S241" i="1"/>
  <c r="M242" i="1"/>
  <c r="N242" i="1"/>
  <c r="O242" i="1"/>
  <c r="P242" i="1"/>
  <c r="Q242" i="1"/>
  <c r="R242" i="1"/>
  <c r="S242" i="1"/>
  <c r="M243" i="1"/>
  <c r="N243" i="1"/>
  <c r="O243" i="1"/>
  <c r="P243" i="1"/>
  <c r="Q243" i="1"/>
  <c r="R243" i="1"/>
  <c r="S243" i="1"/>
  <c r="M244" i="1"/>
  <c r="N244" i="1"/>
  <c r="O244" i="1"/>
  <c r="P244" i="1"/>
  <c r="Q244" i="1"/>
  <c r="R244" i="1"/>
  <c r="S244" i="1"/>
  <c r="M245" i="1"/>
  <c r="N245" i="1"/>
  <c r="O245" i="1"/>
  <c r="P245" i="1"/>
  <c r="Q245" i="1"/>
  <c r="R245" i="1"/>
  <c r="S245" i="1"/>
  <c r="M246" i="1"/>
  <c r="N246" i="1"/>
  <c r="O246" i="1"/>
  <c r="P246" i="1"/>
  <c r="Q246" i="1"/>
  <c r="R246" i="1"/>
  <c r="S246" i="1"/>
  <c r="M247" i="1"/>
  <c r="N247" i="1"/>
  <c r="O247" i="1"/>
  <c r="P247" i="1"/>
  <c r="Q247" i="1"/>
  <c r="R247" i="1"/>
  <c r="S247" i="1"/>
  <c r="M248" i="1"/>
  <c r="N248" i="1"/>
  <c r="O248" i="1"/>
  <c r="P248" i="1"/>
  <c r="Q248" i="1"/>
  <c r="R248" i="1"/>
  <c r="S248" i="1"/>
  <c r="M249" i="1"/>
  <c r="N249" i="1"/>
  <c r="O249" i="1"/>
  <c r="P249" i="1"/>
  <c r="Q249" i="1"/>
  <c r="R249" i="1"/>
  <c r="S249" i="1"/>
  <c r="M250" i="1"/>
  <c r="N250" i="1"/>
  <c r="O250" i="1"/>
  <c r="P250" i="1"/>
  <c r="Q250" i="1"/>
  <c r="R250" i="1"/>
  <c r="S250" i="1"/>
  <c r="M251" i="1"/>
  <c r="N251" i="1"/>
  <c r="O251" i="1"/>
  <c r="P251" i="1"/>
  <c r="Q251" i="1"/>
  <c r="R251" i="1"/>
  <c r="S251" i="1"/>
  <c r="M252" i="1"/>
  <c r="N252" i="1"/>
  <c r="O252" i="1"/>
  <c r="P252" i="1"/>
  <c r="Q252" i="1"/>
  <c r="R252" i="1"/>
  <c r="S252" i="1"/>
  <c r="M253" i="1"/>
  <c r="N253" i="1"/>
  <c r="O253" i="1"/>
  <c r="P253" i="1"/>
  <c r="Q253" i="1"/>
  <c r="R253" i="1"/>
  <c r="S253" i="1"/>
  <c r="M254" i="1"/>
  <c r="N254" i="1"/>
  <c r="O254" i="1"/>
  <c r="P254" i="1"/>
  <c r="Q254" i="1"/>
  <c r="R254" i="1"/>
  <c r="S254" i="1"/>
  <c r="M255" i="1"/>
  <c r="N255" i="1"/>
  <c r="O255" i="1"/>
  <c r="P255" i="1"/>
  <c r="Q255" i="1"/>
  <c r="R255" i="1"/>
  <c r="S255" i="1"/>
  <c r="M256" i="1"/>
  <c r="N256" i="1"/>
  <c r="O256" i="1"/>
  <c r="P256" i="1"/>
  <c r="Q256" i="1"/>
  <c r="R256" i="1"/>
  <c r="S256" i="1"/>
  <c r="M257" i="1"/>
  <c r="N257" i="1"/>
  <c r="O257" i="1"/>
  <c r="P257" i="1"/>
  <c r="Q257" i="1"/>
  <c r="R257" i="1"/>
  <c r="S257" i="1"/>
  <c r="M258" i="1"/>
  <c r="N258" i="1"/>
  <c r="O258" i="1"/>
  <c r="P258" i="1"/>
  <c r="Q258" i="1"/>
  <c r="R258" i="1"/>
  <c r="S258" i="1"/>
  <c r="M259" i="1"/>
  <c r="N259" i="1"/>
  <c r="O259" i="1"/>
  <c r="P259" i="1"/>
  <c r="Q259" i="1"/>
  <c r="R259" i="1"/>
  <c r="S259" i="1"/>
  <c r="M260" i="1"/>
  <c r="N260" i="1"/>
  <c r="O260" i="1"/>
  <c r="P260" i="1"/>
  <c r="Q260" i="1"/>
  <c r="R260" i="1"/>
  <c r="S260" i="1"/>
  <c r="M261" i="1"/>
  <c r="N261" i="1"/>
  <c r="O261" i="1"/>
  <c r="P261" i="1"/>
  <c r="Q261" i="1"/>
  <c r="R261" i="1"/>
  <c r="S261" i="1"/>
  <c r="M262" i="1"/>
  <c r="N262" i="1"/>
  <c r="O262" i="1"/>
  <c r="P262" i="1"/>
  <c r="Q262" i="1"/>
  <c r="R262" i="1"/>
  <c r="S262" i="1"/>
  <c r="M263" i="1"/>
  <c r="N263" i="1"/>
  <c r="O263" i="1"/>
  <c r="P263" i="1"/>
  <c r="Q263" i="1"/>
  <c r="R263" i="1"/>
  <c r="S263" i="1"/>
  <c r="M264" i="1"/>
  <c r="N264" i="1"/>
  <c r="O264" i="1"/>
  <c r="P264" i="1"/>
  <c r="Q264" i="1"/>
  <c r="R264" i="1"/>
  <c r="S264" i="1"/>
  <c r="M265" i="1"/>
  <c r="N265" i="1"/>
  <c r="O265" i="1"/>
  <c r="P265" i="1"/>
  <c r="Q265" i="1"/>
  <c r="R265" i="1"/>
  <c r="S265" i="1"/>
  <c r="M266" i="1"/>
  <c r="N266" i="1"/>
  <c r="O266" i="1"/>
  <c r="P266" i="1"/>
  <c r="Q266" i="1"/>
  <c r="R266" i="1"/>
  <c r="S266" i="1"/>
  <c r="M267" i="1"/>
  <c r="N267" i="1"/>
  <c r="O267" i="1"/>
  <c r="P267" i="1"/>
  <c r="Q267" i="1"/>
  <c r="R267" i="1"/>
  <c r="S267" i="1"/>
  <c r="M268" i="1"/>
  <c r="N268" i="1"/>
  <c r="O268" i="1"/>
  <c r="P268" i="1"/>
  <c r="Q268" i="1"/>
  <c r="R268" i="1"/>
  <c r="S268" i="1"/>
  <c r="M269" i="1"/>
  <c r="N269" i="1"/>
  <c r="O269" i="1"/>
  <c r="P269" i="1"/>
  <c r="Q269" i="1"/>
  <c r="R269" i="1"/>
  <c r="S269" i="1"/>
  <c r="M270" i="1"/>
  <c r="N270" i="1"/>
  <c r="O270" i="1"/>
  <c r="P270" i="1"/>
  <c r="Q270" i="1"/>
  <c r="R270" i="1"/>
  <c r="S270" i="1"/>
  <c r="M271" i="1"/>
  <c r="N271" i="1"/>
  <c r="O271" i="1"/>
  <c r="P271" i="1"/>
  <c r="Q271" i="1"/>
  <c r="R271" i="1"/>
  <c r="S271" i="1"/>
  <c r="M272" i="1"/>
  <c r="N272" i="1"/>
  <c r="O272" i="1"/>
  <c r="P272" i="1"/>
  <c r="Q272" i="1"/>
  <c r="R272" i="1"/>
  <c r="S272" i="1"/>
  <c r="M273" i="1"/>
  <c r="N273" i="1"/>
  <c r="O273" i="1"/>
  <c r="P273" i="1"/>
  <c r="Q273" i="1"/>
  <c r="R273" i="1"/>
  <c r="S273" i="1"/>
  <c r="M274" i="1"/>
  <c r="N274" i="1"/>
  <c r="O274" i="1"/>
  <c r="P274" i="1"/>
  <c r="Q274" i="1"/>
  <c r="R274" i="1"/>
  <c r="S274" i="1"/>
  <c r="M275" i="1"/>
  <c r="N275" i="1"/>
  <c r="O275" i="1"/>
  <c r="P275" i="1"/>
  <c r="Q275" i="1"/>
  <c r="R275" i="1"/>
  <c r="S275" i="1"/>
  <c r="M276" i="1"/>
  <c r="N276" i="1"/>
  <c r="O276" i="1"/>
  <c r="P276" i="1"/>
  <c r="Q276" i="1"/>
  <c r="R276" i="1"/>
  <c r="S276" i="1"/>
  <c r="M277" i="1"/>
  <c r="N277" i="1"/>
  <c r="O277" i="1"/>
  <c r="P277" i="1"/>
  <c r="Q277" i="1"/>
  <c r="R277" i="1"/>
  <c r="S277" i="1"/>
  <c r="M278" i="1"/>
  <c r="N278" i="1"/>
  <c r="O278" i="1"/>
  <c r="P278" i="1"/>
  <c r="Q278" i="1"/>
  <c r="R278" i="1"/>
  <c r="S278" i="1"/>
  <c r="M279" i="1"/>
  <c r="N279" i="1"/>
  <c r="O279" i="1"/>
  <c r="P279" i="1"/>
  <c r="Q279" i="1"/>
  <c r="R279" i="1"/>
  <c r="S279" i="1"/>
  <c r="M280" i="1"/>
  <c r="N280" i="1"/>
  <c r="O280" i="1"/>
  <c r="P280" i="1"/>
  <c r="Q280" i="1"/>
  <c r="R280" i="1"/>
  <c r="S280" i="1"/>
  <c r="M281" i="1"/>
  <c r="N281" i="1"/>
  <c r="O281" i="1"/>
  <c r="P281" i="1"/>
  <c r="Q281" i="1"/>
  <c r="R281" i="1"/>
  <c r="S281" i="1"/>
  <c r="M282" i="1"/>
  <c r="N282" i="1"/>
  <c r="O282" i="1"/>
  <c r="P282" i="1"/>
  <c r="Q282" i="1"/>
  <c r="R282" i="1"/>
  <c r="S282" i="1"/>
  <c r="M283" i="1"/>
  <c r="N283" i="1"/>
  <c r="O283" i="1"/>
  <c r="P283" i="1"/>
  <c r="Q283" i="1"/>
  <c r="R283" i="1"/>
  <c r="S283" i="1"/>
  <c r="M284" i="1"/>
  <c r="N284" i="1"/>
  <c r="O284" i="1"/>
  <c r="P284" i="1"/>
  <c r="Q284" i="1"/>
  <c r="R284" i="1"/>
  <c r="S284" i="1"/>
  <c r="M285" i="1"/>
  <c r="N285" i="1"/>
  <c r="O285" i="1"/>
  <c r="P285" i="1"/>
  <c r="Q285" i="1"/>
  <c r="R285" i="1"/>
  <c r="S285" i="1"/>
  <c r="M286" i="1"/>
  <c r="N286" i="1"/>
  <c r="O286" i="1"/>
  <c r="P286" i="1"/>
  <c r="Q286" i="1"/>
  <c r="R286" i="1"/>
  <c r="S286" i="1"/>
  <c r="M287" i="1"/>
  <c r="N287" i="1"/>
  <c r="O287" i="1"/>
  <c r="P287" i="1"/>
  <c r="Q287" i="1"/>
  <c r="R287" i="1"/>
  <c r="S287" i="1"/>
  <c r="M288" i="1"/>
  <c r="N288" i="1"/>
  <c r="O288" i="1"/>
  <c r="P288" i="1"/>
  <c r="Q288" i="1"/>
  <c r="R288" i="1"/>
  <c r="S288" i="1"/>
  <c r="M289" i="1"/>
  <c r="N289" i="1"/>
  <c r="O289" i="1"/>
  <c r="P289" i="1"/>
  <c r="Q289" i="1"/>
  <c r="R289" i="1"/>
  <c r="S289" i="1"/>
  <c r="M290" i="1"/>
  <c r="N290" i="1"/>
  <c r="O290" i="1"/>
  <c r="P290" i="1"/>
  <c r="Q290" i="1"/>
  <c r="R290" i="1"/>
  <c r="S290" i="1"/>
  <c r="M291" i="1"/>
  <c r="N291" i="1"/>
  <c r="O291" i="1"/>
  <c r="P291" i="1"/>
  <c r="Q291" i="1"/>
  <c r="R291" i="1"/>
  <c r="S291" i="1"/>
  <c r="M292" i="1"/>
  <c r="N292" i="1"/>
  <c r="O292" i="1"/>
  <c r="P292" i="1"/>
  <c r="Q292" i="1"/>
  <c r="R292" i="1"/>
  <c r="S292" i="1"/>
  <c r="M293" i="1"/>
  <c r="N293" i="1"/>
  <c r="O293" i="1"/>
  <c r="P293" i="1"/>
  <c r="Q293" i="1"/>
  <c r="R293" i="1"/>
  <c r="S293" i="1"/>
  <c r="M294" i="1"/>
  <c r="N294" i="1"/>
  <c r="O294" i="1"/>
  <c r="P294" i="1"/>
  <c r="Q294" i="1"/>
  <c r="R294" i="1"/>
  <c r="S294" i="1"/>
  <c r="M295" i="1"/>
  <c r="N295" i="1"/>
  <c r="O295" i="1"/>
  <c r="P295" i="1"/>
  <c r="Q295" i="1"/>
  <c r="R295" i="1"/>
  <c r="S295" i="1"/>
  <c r="M296" i="1"/>
  <c r="N296" i="1"/>
  <c r="O296" i="1"/>
  <c r="P296" i="1"/>
  <c r="Q296" i="1"/>
  <c r="R296" i="1"/>
  <c r="S296" i="1"/>
  <c r="M297" i="1"/>
  <c r="N297" i="1"/>
  <c r="O297" i="1"/>
  <c r="P297" i="1"/>
  <c r="Q297" i="1"/>
  <c r="R297" i="1"/>
  <c r="S297" i="1"/>
  <c r="M298" i="1"/>
  <c r="N298" i="1"/>
  <c r="O298" i="1"/>
  <c r="P298" i="1"/>
  <c r="Q298" i="1"/>
  <c r="R298" i="1"/>
  <c r="S298" i="1"/>
  <c r="M299" i="1"/>
  <c r="N299" i="1"/>
  <c r="O299" i="1"/>
  <c r="P299" i="1"/>
  <c r="Q299" i="1"/>
  <c r="R299" i="1"/>
  <c r="S299" i="1"/>
  <c r="M300" i="1"/>
  <c r="N300" i="1"/>
  <c r="O300" i="1"/>
  <c r="P300" i="1"/>
  <c r="Q300" i="1"/>
  <c r="R300" i="1"/>
  <c r="S300" i="1"/>
  <c r="M301" i="1"/>
  <c r="N301" i="1"/>
  <c r="O301" i="1"/>
  <c r="P301" i="1"/>
  <c r="Q301" i="1"/>
  <c r="R301" i="1"/>
  <c r="S301" i="1"/>
  <c r="M302" i="1"/>
  <c r="N302" i="1"/>
  <c r="O302" i="1"/>
  <c r="P302" i="1"/>
  <c r="Q302" i="1"/>
  <c r="R302" i="1"/>
  <c r="S302" i="1"/>
  <c r="M303" i="1"/>
  <c r="N303" i="1"/>
  <c r="O303" i="1"/>
  <c r="P303" i="1"/>
  <c r="Q303" i="1"/>
  <c r="R303" i="1"/>
  <c r="S303" i="1"/>
  <c r="M304" i="1"/>
  <c r="N304" i="1"/>
  <c r="O304" i="1"/>
  <c r="P304" i="1"/>
  <c r="Q304" i="1"/>
  <c r="R304" i="1"/>
  <c r="S304" i="1"/>
  <c r="M305" i="1"/>
  <c r="N305" i="1"/>
  <c r="O305" i="1"/>
  <c r="P305" i="1"/>
  <c r="Q305" i="1"/>
  <c r="R305" i="1"/>
  <c r="S305" i="1"/>
  <c r="Q2" i="1"/>
  <c r="M2" i="1"/>
  <c r="N2" i="1"/>
  <c r="O2" i="1"/>
  <c r="P2" i="1"/>
  <c r="R2" i="1"/>
  <c r="S2" i="1"/>
  <c r="L6" i="1"/>
  <c r="L3" i="1"/>
  <c r="L4" i="1"/>
  <c r="L5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2" i="1"/>
</calcChain>
</file>

<file path=xl/sharedStrings.xml><?xml version="1.0" encoding="utf-8"?>
<sst xmlns="http://schemas.openxmlformats.org/spreadsheetml/2006/main" count="679" uniqueCount="84">
  <si>
    <t>mobility_type</t>
  </si>
  <si>
    <t>state</t>
  </si>
  <si>
    <t>delta_prime</t>
  </si>
  <si>
    <t>delta_prime_linear</t>
  </si>
  <si>
    <t>delta_prime_dqq</t>
  </si>
  <si>
    <t>delta_prime_lea</t>
  </si>
  <si>
    <t>delta_prime_exp</t>
  </si>
  <si>
    <t>delta_prime_weibull</t>
  </si>
  <si>
    <t>delta_prime_log</t>
  </si>
  <si>
    <t>delta_prime_gomp</t>
  </si>
  <si>
    <t>delta_prime_lsm</t>
  </si>
  <si>
    <t>grocery_and_pharmacy_percent_change_from_baseline</t>
  </si>
  <si>
    <t>Alabama</t>
  </si>
  <si>
    <t>inf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</si>
  <si>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</si>
  <si>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</si>
  <si>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</si>
  <si>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</si>
  <si>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</si>
  <si>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</si>
  <si>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</si>
  <si>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 of 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</si>
  <si>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</si>
  <si>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</si>
  <si>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</si>
  <si>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</si>
  <si>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</si>
  <si>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</si>
  <si>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</si>
  <si>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</si>
  <si>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</si>
  <si>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</si>
  <si>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</si>
  <si>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</si>
  <si>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</si>
  <si>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</si>
  <si>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</si>
  <si>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</si>
  <si>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</si>
  <si>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</si>
  <si>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</si>
  <si>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</si>
  <si>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</si>
  <si>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</si>
  <si>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</si>
  <si>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</si>
  <si>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</si>
  <si>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</si>
  <si>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</si>
  <si>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</si>
  <si>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</si>
  <si>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Pennsylvania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</si>
  <si>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</si>
  <si>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</si>
  <si>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</si>
  <si>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</si>
  <si>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</si>
  <si>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</si>
  <si>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</si>
  <si>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</si>
  <si>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Washington</t>
  </si>
  <si>
    <t>West Virginia</t>
  </si>
  <si>
    <t>Wisconsin</t>
  </si>
  <si>
    <t>Wyoming</t>
  </si>
  <si>
    <t>parks_percent_change_from_baseline</t>
  </si>
  <si>
    <t>residential_percent_change_from_baseline</t>
  </si>
  <si>
    <t>retail_and_recreation_percent_change_from_baseline</t>
  </si>
  <si>
    <t>transit_stations_percent_change_from_baseline</t>
  </si>
  <si>
    <t>workplaces_percent_change_from_baseline</t>
  </si>
  <si>
    <t>SSE_linear</t>
  </si>
  <si>
    <t>SSE_dqq</t>
  </si>
  <si>
    <t>SSE_lea</t>
  </si>
  <si>
    <t>SSE_exp</t>
  </si>
  <si>
    <t>SSE_weibull</t>
  </si>
  <si>
    <t>SSE_log</t>
  </si>
  <si>
    <t>SSE_gomp</t>
  </si>
  <si>
    <t>SSE_lsm</t>
  </si>
  <si>
    <t>Row Labels</t>
  </si>
  <si>
    <t>(blank)</t>
  </si>
  <si>
    <t>Grand Total</t>
  </si>
  <si>
    <t>Sum of SSE_weibull</t>
  </si>
  <si>
    <t>Sum of SSE_log</t>
  </si>
  <si>
    <t>Sum of SSE_exp</t>
  </si>
  <si>
    <t>Sum of SSE_lea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</si>
</sst>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6" fillId="33" borderId="10" xfId="0" applyFont="1" applyFill="1" applyBorder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ang" refreshedDate="45553.703236805559" createdVersion="8" refreshedVersion="8" minRefreshableVersion="3" recordCount="305" xr:uid="{035E7BCD-8184-B047-B5EE-0478937FCB38}">
  <cacheSource type="worksheet">
    <worksheetSource ref="A1:S1048576" sheet="average_rmse_by_state"/>
  </cacheSource>
  <cacheFields count="19">
    <cacheField name="mobility_type" numFmtId="0">
      <sharedItems containsBlank="1" count="7">
        <s v="grocery_and_pharmacy_percent_change_from_baseline"/>
        <s v="parks_percent_change_from_baseline"/>
        <s v="residential_percent_change_from_baseline"/>
        <s v="retail_and_recreation_percent_change_from_baseline"/>
        <s v="transit_stations_percent_change_from_baseline"/>
        <s v="workplaces_percent_change_from_baseline"/>
        <m/>
      </sharedItems>
    </cacheField>
    <cacheField name="state" numFmtId="0">
      <sharedItems containsBlank="1"/>
    </cacheField>
    <cacheField name="delta_prime" numFmtId="0">
      <sharedItems containsString="0" containsBlank="1" containsNumber="1" minValue="5.7605609046029998E-3" maxValue="0.95833333333333304"/>
    </cacheField>
    <cacheField name="delta_prime_linear" numFmtId="0">
      <sharedItems containsString="0" containsBlank="1" containsNumber="1" minValue="-0.44286036315324401" maxValue="0.90427350427350395"/>
    </cacheField>
    <cacheField name="delta_prime_dqq" numFmtId="0">
      <sharedItems containsString="0" containsBlank="1" containsNumber="1" minValue="3.7842438328874697E-2" maxValue="3.0648556079234202"/>
    </cacheField>
    <cacheField name="delta_prime_lea" numFmtId="0">
      <sharedItems containsString="0" containsBlank="1" containsNumber="1" minValue="3.2664772368584602E-2" maxValue="0.96498200857134298"/>
    </cacheField>
    <cacheField name="delta_prime_exp" numFmtId="0">
      <sharedItems containsString="0" containsBlank="1" containsNumber="1" minValue="2.7633702215099998E-3" maxValue="0.90596417369660898"/>
    </cacheField>
    <cacheField name="delta_prime_weibull" numFmtId="0">
      <sharedItems containsString="0" containsBlank="1" containsNumber="1" minValue="1.0506971370727301E-7" maxValue="0.89370293529921396"/>
    </cacheField>
    <cacheField name="delta_prime_log" numFmtId="0">
      <sharedItems containsString="0" containsBlank="1" containsNumber="1" minValue="5.0261771009112999E-3" maxValue="0.78274580923129999"/>
    </cacheField>
    <cacheField name="delta_prime_gomp" numFmtId="0">
      <sharedItems containsString="0" containsBlank="1" containsNumber="1" minValue="0" maxValue="0.90821301791596998"/>
    </cacheField>
    <cacheField name="delta_prime_lsm" numFmtId="0">
      <sharedItems containsBlank="1" containsMixedTypes="1" containsNumber="1" minValue="5.18386160974642E-2" maxValue="3.1793349336746602E+261"/>
    </cacheField>
    <cacheField name="SSE_linear" numFmtId="0">
      <sharedItems containsString="0" containsBlank="1" containsNumber="1" minValue="8.9133410712133074E-5" maxValue="0.83858110428101129"/>
    </cacheField>
    <cacheField name="SSE_dqq" numFmtId="0">
      <sharedItems containsString="0" containsBlank="1" containsNumber="1" minValue="1.8895155075356039E-7" maxValue="7.0037698681021627"/>
    </cacheField>
    <cacheField name="SSE_lea" numFmtId="0">
      <sharedItems containsString="0" containsBlank="1" containsNumber="1" minValue="5.9345107433893738E-9" maxValue="0.68103246852394506"/>
    </cacheField>
    <cacheField name="SSE_exp" numFmtId="0">
      <sharedItems containsString="0" containsBlank="1" containsNumber="1" minValue="2.7826869956687312E-6" maxValue="0.87198178713723029"/>
    </cacheField>
    <cacheField name="SSE_weibull" numFmtId="0">
      <sharedItems containsString="0" containsBlank="1" containsNumber="1" minValue="2.1204410886176516E-9" maxValue="0.78935165111150507"/>
    </cacheField>
    <cacheField name="SSE_log" numFmtId="0">
      <sharedItems containsString="0" containsBlank="1" containsNumber="1" minValue="1.3865765746224572E-5" maxValue="0.7837645454994292"/>
    </cacheField>
    <cacheField name="SSE_gomp" numFmtId="0">
      <sharedItems containsString="0" containsBlank="1" containsNumber="1" minValue="4.8886742143375019E-7" maxValue="0.696409170318121"/>
    </cacheField>
    <cacheField name="SSE_lsm" numFmtId="0">
      <sharedItems containsBlank="1" containsMixedTypes="1" containsNumber="1" minValue="2.7263025047227214E-6" maxValue="8.3102880638030337E+2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5">
  <r>
    <x v="0"/>
    <s v="Alabama"/>
    <n v="0.57285870250069004"/>
    <n v="0.391501039793965"/>
    <n v="2.4136494142717102"/>
    <n v="0.47668060270023699"/>
    <n v="0.295384272236701"/>
    <n v="0.32389795740085398"/>
    <n v="0.34310986135690802"/>
    <n v="0.36957187295435601"/>
    <n v="7589155604446.46"/>
    <n v="3.2890601822446248E-2"/>
    <n v="3.3885104445424585"/>
    <n v="9.2502268812259085E-3"/>
    <n v="7.699205945032532E-2"/>
    <n v="6.1981452600665551E-2"/>
    <n v="5.2784530006910788E-2"/>
    <n v="4.132553506700027E-2"/>
    <n v="5.7595282788492414E+25"/>
  </r>
  <r>
    <x v="0"/>
    <s v="Alaska"/>
    <n v="0.42397660819251998"/>
    <n v="0.15340434424812899"/>
    <n v="0.33913287249489399"/>
    <n v="0.38703357292874901"/>
    <n v="0.214307957811949"/>
    <n v="0.21644184661865401"/>
    <n v="0.24817845541253999"/>
    <n v="0.245807333273415"/>
    <n v="1740.4157676683701"/>
    <n v="7.3209350015993185E-2"/>
    <n v="7.1984594871286143E-3"/>
    <n v="1.3647878545002248E-3"/>
    <n v="4.3960942952410105E-2"/>
    <n v="4.3070677261521396E-2"/>
    <n v="3.0904990520853184E-2"/>
    <n v="3.1744290525199607E-2"/>
    <n v="3027571.4329568045"/>
  </r>
  <r>
    <x v="0"/>
    <s v="Arizona"/>
    <n v="0.66874081755558201"/>
    <n v="0.42703273739841602"/>
    <n v="1.0728068189650199"/>
    <n v="0.67987062761693096"/>
    <n v="0.47300071109387498"/>
    <n v="0.50595784099125596"/>
    <n v="0.52304022839102804"/>
    <n v="0.53603833772888299"/>
    <n v="0.56311777416605602"/>
    <n v="5.842279601326298E-2"/>
    <n v="0.16326933349501191"/>
    <n v="1.2387267200170417E-4"/>
    <n v="3.8314189277640402E-2"/>
    <n v="2.6498297459141926E-2"/>
    <n v="2.1228661682898144E-2"/>
    <n v="1.7609948152155462E-2"/>
    <n v="1.115622729486569E-2"/>
  </r>
  <r>
    <x v="0"/>
    <s v="Arkansas"/>
    <n v="0.50361133403025704"/>
    <n v="0.132975956440923"/>
    <n v="0.94664485862218595"/>
    <n v="0.449942392237074"/>
    <n v="0.36303084974225203"/>
    <n v="5.9264399974609298E-2"/>
    <n v="0.13153876521053301"/>
    <n v="1.0701469093882299E-2"/>
    <n v="0.36303099130187999"/>
    <n v="0.13737058312078823"/>
    <n v="0.19627870391234728"/>
    <n v="2.8803553132000699E-3"/>
    <n v="1.9762872562650025E-2"/>
    <n v="0.19744419780465416"/>
    <n v="0.13843799646810831"/>
    <n v="0.24296013495159519"/>
    <n v="1.9762832761627953E-2"/>
  </r>
  <r>
    <x v="0"/>
    <s v="California"/>
    <n v="0.54741079560419903"/>
    <n v="0.46188579598836899"/>
    <n v="0.95751278641757698"/>
    <n v="0.65508260741147994"/>
    <n v="0.45639629573446799"/>
    <n v="0.46246767892411"/>
    <n v="0.47919332835170098"/>
    <n v="0.50389910832303497"/>
    <n v="86.1952392434426"/>
    <n v="7.3145255592877295E-3"/>
    <n v="0.16818364286909593"/>
    <n v="1.1593219057862519E-2"/>
    <n v="8.2836391865372706E-3"/>
    <n v="7.2153330713272184E-3"/>
    <n v="4.6536228383456443E-3"/>
    <n v="1.8932669300538139E-3"/>
    <n v="7335.5505178303583"/>
  </r>
  <r>
    <x v="0"/>
    <s v="Colorado"/>
    <n v="0.37923874670187302"/>
    <n v="0.26617097095834502"/>
    <n v="0.67984501860354596"/>
    <n v="0.50812482579221996"/>
    <n v="0.26590140398921402"/>
    <n v="0.37643460482081798"/>
    <n v="0.39073105809976499"/>
    <n v="0.45186317386915098"/>
    <n v="0.55803278541059198"/>
    <n v="1.2784321911588738E-2"/>
    <n v="9.0364130706622525E-2"/>
    <n v="1.6611621383283166E-2"/>
    <n v="1.2845353253166717E-2"/>
    <n v="7.8632116890869233E-6"/>
    <n v="1.3207322126611778E-4"/>
    <n v="5.2743074213752609E-3"/>
    <n v="3.1967308277774893E-2"/>
  </r>
  <r>
    <x v="0"/>
    <s v="Connecticut"/>
    <n v="0.488521373512389"/>
    <n v="0.39040391240621702"/>
    <n v="0.85619780902225096"/>
    <n v="0.64921604603981198"/>
    <n v="0.43070751277235803"/>
    <n v="0.53834644714860602"/>
    <n v="0.54677934992370703"/>
    <n v="0.60312043114208602"/>
    <n v="0.72474705238075698"/>
    <n v="9.6270361739211711E-3"/>
    <n v="0.13518596122923768"/>
    <n v="2.582277777869571E-2"/>
    <n v="3.342442493667695E-3"/>
    <n v="2.4825379628544485E-3"/>
    <n v="3.3939918155416874E-3"/>
    <n v="1.3132944009614619E-2"/>
    <n v="5.5802571356821318E-2"/>
  </r>
  <r>
    <x v="0"/>
    <s v="Delaware"/>
    <n v="0.39539539541824698"/>
    <n v="0.28235294117646997"/>
    <n v="0.30258908750508001"/>
    <n v="0.33360618237266099"/>
    <n v="0.18296184054103101"/>
    <n v="0.189945494195502"/>
    <n v="0.22212435769449501"/>
    <n v="0.21248477281285999"/>
    <s v="inf"/>
    <n v="1.2778596461004247E-2"/>
    <n v="8.6130107884735563E-3"/>
    <n v="3.8179068487928136E-3"/>
    <n v="4.5128015237771123E-2"/>
    <n v="4.2209661912435671E-2"/>
    <n v="3.0022852513865876E-2"/>
    <n v="3.3456295861890306E-2"/>
    <e v="#VALUE!"/>
  </r>
  <r>
    <x v="0"/>
    <s v="District of Columbia"/>
    <n v="0.78367346942857097"/>
    <n v="0.75718287323809497"/>
    <n v="0.91412262044829296"/>
    <n v="0.88519631957295597"/>
    <n v="0.75490774356561996"/>
    <n v="0.78064811691660096"/>
    <n v="0.49999968791556798"/>
    <n v="0.80758845186105799"/>
    <n v="0.97105611577220097"/>
    <n v="7.0175168652686164E-4"/>
    <n v="1.7016981001766233E-2"/>
    <n v="1.0306889101439254E-2"/>
    <n v="8.2746698442244851E-4"/>
    <n v="9.1527578216832084E-6"/>
    <n v="8.0470814317886954E-2"/>
    <n v="5.7192638474616272E-4"/>
    <n v="3.5112256150741913E-2"/>
  </r>
  <r>
    <x v="0"/>
    <s v="Florida"/>
    <n v="0.78249444952745495"/>
    <n v="0.54124523400239399"/>
    <n v="0.56100953657934505"/>
    <n v="0.65916356637678397"/>
    <n v="0.41685835888490003"/>
    <n v="0.56868750048912198"/>
    <n v="0.57312698118351701"/>
    <n v="0.63563493739243904"/>
    <n v="0.74606948850285304"/>
    <n v="5.8201183991457316E-2"/>
    <n v="4.9055566663631818E-2"/>
    <n v="1.5210506738724459E-2"/>
    <n v="0.13368975078037065"/>
    <n v="4.5713411457080314E-2"/>
    <n v="4.3834736800749854E-2"/>
    <n v="2.1567716304534888E-2"/>
    <n v="1.3267777856437683E-3"/>
  </r>
  <r>
    <x v="0"/>
    <s v="Georgia"/>
    <n v="0.716894229187091"/>
    <n v="0.50265800808983496"/>
    <n v="1.3977853277613901"/>
    <n v="0.69248537477303296"/>
    <n v="0.48162668337925002"/>
    <n v="0.388479116412623"/>
    <n v="0.41965765893440099"/>
    <n v="0.35695525838699899"/>
    <n v="0.48162668304344403"/>
    <n v="4.5897158430032371E-2"/>
    <n v="0.46361268811771589"/>
    <n v="5.957921738066809E-4"/>
    <n v="5.5350818110444552E-2"/>
    <n v="0.10785648629866654"/>
    <n v="8.8349578695582326E-2"/>
    <n v="0.1295560627006295"/>
    <n v="5.5350818268453061E-2"/>
  </r>
  <r>
    <x v="0"/>
    <s v="Hawaii"/>
    <n v="0.83882422571798498"/>
    <n v="0.75472687444439401"/>
    <n v="1.0562124532172601"/>
    <n v="0.88961749310772498"/>
    <n v="0.75674876980746897"/>
    <n v="0.77947577855643801"/>
    <n v="0.78274580923129999"/>
    <n v="0.80509525047479502"/>
    <n v="0.90689294143726695"/>
    <n v="7.0723644912337527E-3"/>
    <n v="4.725764145527659E-2"/>
    <n v="2.5799560121256243E-3"/>
    <n v="6.7363804629190583E-3"/>
    <n v="3.5222381804869323E-3"/>
    <n v="3.1447887956541029E-3"/>
    <n v="1.1376437709557214E-3"/>
    <n v="4.6333500596724246E-3"/>
  </r>
  <r>
    <x v="0"/>
    <s v="Idaho"/>
    <n v="0.55628131702980699"/>
    <n v="0.27643746550903697"/>
    <n v="0.45690016890242602"/>
    <n v="0.53525354357083799"/>
    <n v="0.32039898951024798"/>
    <n v="0.388557785542198"/>
    <n v="0.40574338917216501"/>
    <n v="0.45249437356123801"/>
    <n v="0.86652826531228799"/>
    <n v="7.8312581233978773E-2"/>
    <n v="9.8766126031164386E-3"/>
    <n v="4.4216725664172115E-4"/>
    <n v="5.5640472436044502E-2"/>
    <n v="2.8131183014674963E-2"/>
    <n v="2.2661667723672618E-2"/>
    <n v="1.0771729634547934E-2"/>
    <n v="9.6253168918592438E-2"/>
  </r>
  <r>
    <x v="0"/>
    <s v="Illinois"/>
    <n v="0.65707253195409598"/>
    <n v="0.32633224864958699"/>
    <n v="0.47674758827027303"/>
    <n v="0.58603146220611702"/>
    <n v="0.38667338935186402"/>
    <n v="0.460970615047265"/>
    <n v="0.477813034982216"/>
    <n v="0.49789258315586998"/>
    <n v="0.47301563130617602"/>
    <n v="0.10938913500034687"/>
    <n v="3.2517085314573924E-2"/>
    <n v="5.0468335909372129E-3"/>
    <n v="7.3115696320022183E-2"/>
    <n v="3.8455961814533646E-2"/>
    <n v="3.2133967254611449E-2"/>
    <n v="2.5338256099405852E-2"/>
    <n v="3.387694267611828E-2"/>
  </r>
  <r>
    <x v="0"/>
    <s v="Indiana"/>
    <n v="0.43721183137945002"/>
    <n v="3.5370379873806798E-2"/>
    <n v="0.28608540762943502"/>
    <n v="0.33561574770123598"/>
    <n v="0.16759122639346599"/>
    <n v="0.187518370589985"/>
    <n v="0.219349302283358"/>
    <n v="0.210036082703177"/>
    <n v="7.0311863835487403"/>
    <n v="0.1614765521481622"/>
    <n v="2.2839195955469099E-2"/>
    <n v="1.0321764218750669E-2"/>
    <n v="7.2695270633008055E-2"/>
    <n v="6.2346824361020112E-2"/>
    <n v="4.7464081584145543E-2"/>
    <n v="5.1608820786625161E-2"/>
    <n v="43.48050039465619"/>
  </r>
  <r>
    <x v="0"/>
    <s v="Iowa"/>
    <n v="0.34240500139977298"/>
    <n v="7.8155214518124197E-2"/>
    <n v="0.35232791815672598"/>
    <n v="0.37442945927922699"/>
    <n v="0.13663571450045001"/>
    <n v="0.235998385922214"/>
    <n v="0.25595777060847602"/>
    <n v="0.30558352379340498"/>
    <n v="0.29411680947354701"/>
    <n v="6.9827949866996808E-2"/>
    <n v="9.8464276965418723E-5"/>
    <n v="1.0255659024729245E-3"/>
    <n v="4.234099943105589E-2"/>
    <n v="1.1322367817389094E-2"/>
    <n v="7.4731237114837607E-3"/>
    <n v="1.3558212131162602E-3"/>
    <n v="2.3317494795040343E-3"/>
  </r>
  <r>
    <x v="0"/>
    <s v="Kansas"/>
    <n v="0.58888888886060597"/>
    <n v="0.49561403509051"/>
    <n v="1.0881949305360501"/>
    <n v="0.83182999955334003"/>
    <n v="0.63582305066299105"/>
    <n v="0.29163442636285503"/>
    <n v="0.36126975963079799"/>
    <n v="0.139733980686158"/>
    <n v="0.63582308856995096"/>
    <n v="8.700198345832787E-3"/>
    <n v="0.24930652325360034"/>
    <n v="5.902038326461926E-2"/>
    <n v="2.2028155440924624E-3"/>
    <n v="8.8360215474826823E-2"/>
    <n v="5.1810467991336026E-2"/>
    <n v="0.2017401315371968"/>
    <n v="2.2028191023566786E-3"/>
  </r>
  <r>
    <x v="0"/>
    <s v="Kentucky"/>
    <n v="0.58256343524634202"/>
    <n v="0.163202054925187"/>
    <n v="0.39420652392986599"/>
    <n v="0.45326651971113402"/>
    <n v="0.21032657922689099"/>
    <n v="0.328128692253772"/>
    <n v="0.34168930574002299"/>
    <n v="0.40864915663248802"/>
    <n v="1.0061989647505001"/>
    <n v="0.17586396730486439"/>
    <n v="3.5478326040682816E-2"/>
    <n v="1.6717692366918713E-2"/>
    <n v="0.1385602769792455"/>
    <n v="6.4737038441695163E-2"/>
    <n v="5.8020346265426952E-2"/>
    <n v="3.0246176305777236E-2"/>
    <n v="0.17946706185826838"/>
  </r>
  <r>
    <x v="0"/>
    <s v="Louisiana"/>
    <n v="0.599991574711083"/>
    <n v="0.58910951426678204"/>
    <n v="0.87027537311877201"/>
    <n v="0.74775874273353604"/>
    <n v="0.53819837373730395"/>
    <n v="0.391138970456124"/>
    <n v="0.42345866304190999"/>
    <n v="0.31618338664402501"/>
    <s v="inf"/>
    <n v="1.1841923951341952E-4"/>
    <n v="7.3053331681688274E-2"/>
    <n v="2.183513594537587E-2"/>
    <n v="3.8183996865858482E-3"/>
    <n v="4.3619410304078517E-2"/>
    <n v="3.1163868902396041E-2"/>
    <n v="8.0547087613906554E-2"/>
    <e v="#VALUE!"/>
  </r>
  <r>
    <x v="0"/>
    <s v="Maine"/>
    <n v="0.232660455434782"/>
    <n v="0.12991718425465801"/>
    <n v="0.35683223317340101"/>
    <n v="0.36956721634717898"/>
    <n v="0.18941194324991201"/>
    <n v="0.221550816380643"/>
    <n v="0.25196541874638501"/>
    <n v="0.25121159235985102"/>
    <n v="2.5776507690984701E+201"/>
    <n v="1.0556179772792499E-2"/>
    <n v="1.5418630386769E-2"/>
    <n v="1.874346118352423E-2"/>
    <n v="1.8704338062048487E-3"/>
    <n v="1.2342407991325057E-4"/>
    <n v="3.7268160846233795E-4"/>
    <n v="3.4414468121265915E-4"/>
    <e v="#NUM!"/>
  </r>
  <r>
    <x v="0"/>
    <s v="Maryland"/>
    <n v="0.66267175918311405"/>
    <n v="0.43467750933994598"/>
    <n v="0.57605433136208095"/>
    <n v="0.622543611572281"/>
    <n v="0.46071182780509901"/>
    <n v="0.433456863905267"/>
    <n v="0.45867172538429202"/>
    <n v="0.43233582306851698"/>
    <n v="8.0860988136285497E+91"/>
    <n v="5.1981377961548947E-2"/>
    <n v="7.5025788023318791E-3"/>
    <n v="1.6102682306768064E-3"/>
    <n v="4.0787813882212545E-2"/>
    <n v="5.2539468217234389E-2"/>
    <n v="4.1616013789920532E-2"/>
    <n v="5.3054643465787747E-2"/>
    <n v="6.5384994023765034E+183"/>
  </r>
  <r>
    <x v="0"/>
    <s v="Massachusetts"/>
    <n v="0.53302907589091797"/>
    <n v="0.47283458943727902"/>
    <n v="0.756705648851969"/>
    <n v="0.6660900553122"/>
    <n v="0.46568548235593799"/>
    <n v="0.53956643458626996"/>
    <n v="0.55127697770276896"/>
    <n v="0.58836031295583202"/>
    <n v="0.59359524086941495"/>
    <n v="3.6233761994173231E-3"/>
    <n v="5.003120929160039E-2"/>
    <n v="1.770522424455084E-2"/>
    <n v="4.5351595902045983E-3"/>
    <n v="4.2737058711694287E-5"/>
    <n v="3.3298592053495452E-4"/>
    <n v="3.0615457951337186E-3"/>
    <n v="3.6682603402025146E-3"/>
  </r>
  <r>
    <x v="0"/>
    <s v="Michigan"/>
    <n v="0.58352250229833502"/>
    <n v="0.24711680227379901"/>
    <n v="0.36471441226192702"/>
    <n v="0.42573709945488403"/>
    <n v="0.29108414758664503"/>
    <n v="0.26514293488986002"/>
    <n v="0.30092473290014998"/>
    <n v="0.26346377536298998"/>
    <s v="inf"/>
    <n v="0.11316879500899811"/>
    <n v="4.7876980265380828E-2"/>
    <n v="2.4896233350470115E-2"/>
    <n v="8.5520191306480225E-2"/>
    <n v="0.10136554894320768"/>
    <n v="7.9861499268829766E-2"/>
    <n v="0.10243758868747375"/>
    <e v="#VALUE!"/>
  </r>
  <r>
    <x v="0"/>
    <s v="Minnesota"/>
    <n v="0.63815975674960301"/>
    <n v="0.22545990739032801"/>
    <n v="0.27823093084845801"/>
    <n v="0.40572575311929399"/>
    <n v="0.19035569626153001"/>
    <n v="0.26103721160193999"/>
    <n v="0.28302580704722102"/>
    <n v="0.32036604704950999"/>
    <n v="0.89254998200385005"/>
    <n v="0.17032116566116828"/>
    <n v="0.12954875971457674"/>
    <n v="5.4025566043614512E-2"/>
    <n v="0.20052847658960571"/>
    <n v="0.14222141405865113"/>
    <n v="0.12612012223121399"/>
    <n v="0.10099284192494699"/>
    <n v="6.4714386704906549E-2"/>
  </r>
  <r>
    <x v="0"/>
    <s v="Mississippi"/>
    <n v="0.68799203030630496"/>
    <n v="0.52673810213203998"/>
    <n v="2.0801727346782801"/>
    <n v="0.63838574409549198"/>
    <n v="0.42344611800327098"/>
    <n v="0.46176882407794201"/>
    <n v="0.47596887964718698"/>
    <n v="0.50579406905234603"/>
    <n v="316261794.98860699"/>
    <n v="2.6002829351631011E-2"/>
    <n v="1.9381671136256489"/>
    <n v="2.4607836316290939E-3"/>
    <n v="6.9984539716244548E-2"/>
    <n v="5.1176939036240432E-2"/>
    <n v="4.495381641541904E-2"/>
    <n v="3.3196097085099116E-2"/>
    <n v="1.0002152253424448E+17"/>
  </r>
  <r>
    <x v="0"/>
    <s v="Missouri"/>
    <n v="0.66521409086133698"/>
    <n v="0.44240263298343002"/>
    <n v="0.56310598721444305"/>
    <n v="0.60058053914007303"/>
    <n v="0.34742094316885602"/>
    <n v="0.49768633530765599"/>
    <n v="0.50428749072520895"/>
    <n v="0.57571590011666296"/>
    <n v="0.67779491440819495"/>
    <n v="4.9644945761678307E-2"/>
    <n v="1.0426064830364835E-2"/>
    <n v="4.1774960081053022E-3"/>
    <n v="0.10099248472029501"/>
    <n v="2.8065548880853892E-2"/>
    <n v="2.5897370631373241E-2"/>
    <n v="8.0099261465700552E-3"/>
    <n v="1.5827712111717588E-4"/>
  </r>
  <r>
    <x v="0"/>
    <s v="Montana"/>
    <n v="0.29027658977690401"/>
    <n v="3.5183601175704099E-2"/>
    <n v="0.31763231457355401"/>
    <n v="0.37860997392402301"/>
    <n v="0.17925871167301899"/>
    <n v="0.21856657533745799"/>
    <n v="0.24764411773721201"/>
    <n v="0.26228117129306"/>
    <n v="0.44953619642688902"/>
    <n v="6.50724328334919E-2"/>
    <n v="7.4833567915005134E-4"/>
    <n v="7.8027867548824941E-3"/>
    <n v="1.2324969258689073E-2"/>
    <n v="5.1423261709055571E-3"/>
    <n v="1.8175276722151206E-3"/>
    <n v="7.8374345608555511E-4"/>
    <n v="2.5363622310307948E-2"/>
  </r>
  <r>
    <x v="0"/>
    <s v="Nebraska"/>
    <n v="0.59671717169001304"/>
    <n v="0.43696116087896603"/>
    <n v="0.55718123171779699"/>
    <n v="0.60642298926131699"/>
    <n v="0.34494745331603599"/>
    <n v="0.50979789332568504"/>
    <n v="0.515956887273603"/>
    <n v="0.581746728915704"/>
    <n v="0.64981556125173201"/>
    <n v="2.552198299025937E-2"/>
    <n v="1.5630905494866708E-3"/>
    <n v="9.4202894727432582E-5"/>
    <n v="6.3387991090111714E-2"/>
    <n v="7.5549609513755377E-3"/>
    <n v="6.5222235390194417E-3"/>
    <n v="2.2411415685886157E-4"/>
    <n v="2.8194389740480662E-3"/>
  </r>
  <r>
    <x v="0"/>
    <s v="Nevada"/>
    <n v="0.68217054264902"/>
    <n v="0.58965394944267702"/>
    <n v="0.92679570421101298"/>
    <n v="0.75263138574687005"/>
    <n v="0.56649795507778999"/>
    <n v="0.60104855311334204"/>
    <n v="0.60986501636481205"/>
    <n v="0.65073257437443399"/>
    <n v="1.4424602495725101"/>
    <n v="8.5593200185079474E-3"/>
    <n v="5.9841469669231172E-2"/>
    <n v="4.9647304100598443E-3"/>
    <n v="1.3380147515423874E-2"/>
    <n v="6.5807771862266429E-3"/>
    <n v="5.2280891312362857E-3"/>
    <n v="9.88345849233876E-4"/>
    <n v="0.57804043845380648"/>
  </r>
  <r>
    <x v="0"/>
    <s v="New Hampshire"/>
    <n v="0.32251082250504998"/>
    <n v="0.11381005825589199"/>
    <n v="0.37899769026907298"/>
    <n v="0.36277761442895701"/>
    <n v="0.18821694637560499"/>
    <n v="0.22451238496604201"/>
    <n v="0.25702194003219597"/>
    <n v="0.242790574278239"/>
    <n v="0.22690808004604901"/>
    <n v="4.355600899818262E-2"/>
    <n v="3.1907662297902218E-3"/>
    <n v="1.6214145318432245E-3"/>
    <n v="1.8034845165870714E-2"/>
    <n v="9.6036937600868458E-3"/>
    <n v="4.2887937275432842E-3"/>
    <n v="6.3553179773443592E-3"/>
    <n v="9.1398843656820654E-3"/>
  </r>
  <r>
    <x v="0"/>
    <s v="New Jersey"/>
    <n v="0.48194024822479498"/>
    <n v="0.34889666228981298"/>
    <n v="0.72931052284076403"/>
    <n v="0.61144039684374596"/>
    <n v="0.41893699045181698"/>
    <n v="0.468487254029539"/>
    <n v="0.48738502473593798"/>
    <n v="0.49685215455813497"/>
    <n v="0.474297111542063"/>
    <n v="1.770059575843894E-2"/>
    <n v="6.1192052763579946E-2"/>
    <n v="1.6770288492330393E-2"/>
    <n v="3.9694104900083122E-3"/>
    <n v="1.8098305281759094E-4"/>
    <n v="2.9645591256294553E-5"/>
    <n v="2.2236495049430551E-4"/>
    <n v="5.8417538350923167E-5"/>
  </r>
  <r>
    <x v="0"/>
    <s v="New Mexico"/>
    <n v="0.68877635048146701"/>
    <n v="0.377912721810643"/>
    <n v="0.96242779625589803"/>
    <n v="0.71053674625063501"/>
    <n v="0.514754620240504"/>
    <n v="0.243848002561947"/>
    <n v="0.30382974964003201"/>
    <n v="0.12909018038511999"/>
    <n v="0.51474884751099304"/>
    <n v="9.6636195630391955E-2"/>
    <n v="7.4885113774436352E-2"/>
    <n v="4.7351482403082439E-4"/>
    <n v="3.0283562596058501E-2"/>
    <n v="0.19796123478239344"/>
    <n v="0.14818388549937508"/>
    <n v="0.3132486089971171"/>
    <n v="3.028557179013833E-2"/>
  </r>
  <r>
    <x v="0"/>
    <s v="New York"/>
    <n v="0.50036824977481398"/>
    <n v="0.46147925159481401"/>
    <n v="0.86583947220768998"/>
    <n v="0.67058472111093204"/>
    <n v="0.46613503047428401"/>
    <n v="0.55450020956773105"/>
    <n v="0.56397175200330596"/>
    <n v="0.61166404991183898"/>
    <n v="0.70390594097114301"/>
    <n v="1.5123541794440408E-3"/>
    <n v="0.13356921442658073"/>
    <n v="2.89736471141195E-2"/>
    <n v="1.1719133036781778E-3"/>
    <n v="2.9302690710219905E-3"/>
    <n v="4.0454054957297847E-3"/>
    <n v="1.2386755128140615E-2"/>
    <n v="4.1427591737532195E-2"/>
  </r>
  <r>
    <x v="0"/>
    <s v="North Carolina"/>
    <n v="0.69674447969034403"/>
    <n v="0.49454616056415701"/>
    <n v="0.85176761788913302"/>
    <n v="0.71904321232869495"/>
    <n v="0.518238317462418"/>
    <n v="0.630999902006527"/>
    <n v="0.63542948920276898"/>
    <n v="0.69604528914304398"/>
    <n v="0.829007310958217"/>
    <n v="4.0884160257455365E-2"/>
    <n v="2.403217337700083E-2"/>
    <n v="4.9723347727665638E-4"/>
    <n v="3.1864449953342651E-2"/>
    <n v="4.3223494948234518E-3"/>
    <n v="3.759528058491419E-3"/>
    <n v="4.8886742143375019E-7"/>
    <n v="1.7493456534993835E-2"/>
  </r>
  <r>
    <x v="0"/>
    <s v="North Dakota"/>
    <n v="0.5"/>
    <n v="0.13265306121970399"/>
    <n v="1.4557402462128901"/>
    <n v="0.476011794290436"/>
    <n v="0.242582882874532"/>
    <n v="0.34028970306717399"/>
    <n v="0.359211018493096"/>
    <n v="0.40029916604462401"/>
    <n v="0.37540871369953299"/>
    <n v="0.13494377343125455"/>
    <n v="0.91343941823107577"/>
    <n v="5.7543401316435903E-4"/>
    <n v="6.6263572189186909E-2"/>
    <n v="2.5507378946371454E-2"/>
    <n v="1.9821537313751355E-2"/>
    <n v="9.9402562913974545E-3"/>
    <n v="1.5522988622004939E-2"/>
  </r>
  <r>
    <x v="0"/>
    <s v="Ohio"/>
    <n v="0.67248498571483895"/>
    <n v="0.32635162090644798"/>
    <n v="0.48047530428559698"/>
    <n v="0.57944618794341995"/>
    <n v="0.37878219373197303"/>
    <n v="0.44384024349760198"/>
    <n v="0.45949858320473502"/>
    <n v="0.49348443010715698"/>
    <n v="1.1824737840014901"/>
    <n v="0.11980830623357866"/>
    <n v="3.6867717762558982E-2"/>
    <n v="8.6562178907509998E-3"/>
    <n v="8.6261330018530605E-2"/>
    <n v="5.227841814358674E-2"/>
    <n v="4.5363207654196006E-2"/>
    <n v="3.2041198907858844E-2"/>
    <n v="0.26008857437786254"/>
  </r>
  <r>
    <x v="0"/>
    <s v="Oklahoma"/>
    <n v="0.41839195464908102"/>
    <n v="0.20317051063005301"/>
    <n v="3.0648556079234202"/>
    <n v="0.26719004561574"/>
    <n v="0.10562875934030599"/>
    <n v="0.145165770637499"/>
    <n v="0.161455244033334"/>
    <n v="0.202475113094222"/>
    <n v="3.7483818635181504E+16"/>
    <n v="4.632026996563561E-2"/>
    <n v="7.0037698681021627"/>
    <n v="2.2862017295326734E-2"/>
    <n v="9.7820816339754965E-2"/>
    <n v="7.4652547629530899E-2"/>
    <n v="6.6016473262040132E-2"/>
    <n v="4.6620082467026092E-2"/>
    <n v="1.4050366594751802E+33"/>
  </r>
  <r>
    <x v="0"/>
    <s v="Oregon"/>
    <n v="0.37984039799158098"/>
    <n v="0.24464385340711001"/>
    <n v="0.53799706223131505"/>
    <n v="0.446791679688328"/>
    <n v="0.249418628350038"/>
    <n v="0.31658531643195298"/>
    <n v="0.33834338302100903"/>
    <n v="0.36460497294076799"/>
    <n v="5.9296213857769597"/>
    <n v="1.8278105667580848E-2"/>
    <n v="2.5013530443439978E-2"/>
    <n v="4.4824741208371729E-3"/>
    <n v="1.7009837996431701E-2"/>
    <n v="4.0012053431151906E-3"/>
    <n v="1.722002251467873E-3"/>
    <n v="2.3211817647893998E-4"/>
    <n v="30.800069012384057"/>
  </r>
  <r>
    <x v="0"/>
    <s v="Pennsylvania"/>
    <n v="0.492933105140197"/>
    <n v="0.45528063786207301"/>
    <n v="0.69798471345968605"/>
    <n v="0.63362863247217205"/>
    <n v="0.472295536140383"/>
    <n v="0.38666431248524302"/>
    <n v="0.41762616172439698"/>
    <n v="0.35774553013278199"/>
    <s v="inf"/>
    <n v="1.4177082921301978E-3"/>
    <n v="4.204616207440915E-2"/>
    <n v="1.9795231411222539E-2"/>
    <n v="4.2590925422208401E-4"/>
    <n v="1.1293056292341602E-2"/>
    <n v="5.6711357266305057E-3"/>
    <n v="1.8275680436385461E-2"/>
    <e v="#VALUE!"/>
  </r>
  <r>
    <x v="0"/>
    <s v="Rhode Island"/>
    <n v="0.60068371265808795"/>
    <n v="0.44786278786452699"/>
    <n v="0.53461589915754804"/>
    <n v="0.55856421784179699"/>
    <n v="0.32370750081589"/>
    <n v="0.43588568939299899"/>
    <n v="0.44692365697549802"/>
    <n v="0.51070073627854695"/>
    <n v="1.10593445040661"/>
    <n v="2.3354235054759215E-2"/>
    <n v="4.3649559807421249E-3"/>
    <n v="1.774051843579561E-3"/>
    <n v="7.6715821926454111E-2"/>
    <n v="2.7158388472080804E-2"/>
    <n v="2.3642154723513158E-2"/>
    <n v="8.0969360381210331E-3"/>
    <n v="0.25527830799542578"/>
  </r>
  <r>
    <x v="0"/>
    <s v="South Carolina"/>
    <n v="0.61290394423920902"/>
    <n v="0.35598996472257399"/>
    <n v="1.8225374682178499"/>
    <n v="0.62330046353643298"/>
    <n v="0.40382153106950203"/>
    <n v="0.330408545737087"/>
    <n v="0.36705902968683402"/>
    <n v="0.29617327000327798"/>
    <n v="0.40382289442303099"/>
    <n v="6.6004792871073956E-2"/>
    <n v="1.4632132623329852"/>
    <n v="1.0808761349755019E-4"/>
    <n v="4.3715455496868061E-2"/>
    <n v="7.9803650174872717E-2"/>
    <n v="6.0439722011264567E-2"/>
    <n v="0.10031832000194747"/>
    <n v="4.3714885392235121E-2"/>
  </r>
  <r>
    <x v="0"/>
    <s v="South Dakota"/>
    <n v="0.18250950550228401"/>
    <n v="-0.122519402243242"/>
    <n v="0.29499420817022198"/>
    <n v="0.29101932938388703"/>
    <n v="0.114526492667358"/>
    <n v="0.16512028617962399"/>
    <n v="0.19689065125952601"/>
    <n v="0.19004085735691001"/>
    <n v="0.17087989359547301"/>
    <n v="9.3042634560428605E-2"/>
    <n v="1.2652808334294413E-2"/>
    <n v="1.1774381878816504E-2"/>
    <n v="4.6216900341137148E-3"/>
    <n v="3.0238494865157266E-4"/>
    <n v="2.0681735329103966E-4"/>
    <n v="5.6721260758178499E-5"/>
    <n v="1.3524787310304016E-4"/>
  </r>
  <r>
    <x v="0"/>
    <s v="Tennessee"/>
    <n v="0.641166657741292"/>
    <n v="0.37332549300193302"/>
    <n v="2.7787242373304499"/>
    <n v="0.67865033026955801"/>
    <n v="0.42926805221047998"/>
    <n v="0.34290780824656197"/>
    <n v="0.37598855424071398"/>
    <n v="0.30227410047680398"/>
    <n v="0.42927595474945701"/>
    <n v="7.1738889528936436E-2"/>
    <n v="4.56915240605906"/>
    <n v="1.4050257062062841E-3"/>
    <n v="4.4901019025902683E-2"/>
    <n v="8.8958341301920013E-2"/>
    <n v="7.0319426576163274E-2"/>
    <n v="0.1148481653692643"/>
    <n v="4.489767001437403E-2"/>
  </r>
  <r>
    <x v="0"/>
    <s v="Texas"/>
    <n v="0.57694606325751296"/>
    <n v="0.43367040051371603"/>
    <n v="1.4596004963314899"/>
    <n v="0.61388634784535201"/>
    <n v="0.41624668058188702"/>
    <n v="0.31541969958417099"/>
    <n v="0.35395202542760401"/>
    <n v="0.27780136126820298"/>
    <n v="0.41625157406680402"/>
    <n v="2.0527915534674243E-2"/>
    <n v="0.77907884822514362"/>
    <n v="1.3645846254305388E-3"/>
    <n v="2.582429159232727E-2"/>
    <n v="6.839603889620112E-2"/>
    <n v="4.9726340907686864E-2"/>
    <n v="8.9487552728273079E-2"/>
    <n v="2.5822718856262875E-2"/>
  </r>
  <r>
    <x v="0"/>
    <s v="Utah"/>
    <n v="0.59766416445104398"/>
    <n v="0.25763920775453097"/>
    <n v="1.1923505280711799"/>
    <n v="0.61631150568687099"/>
    <n v="0.41133103085791001"/>
    <n v="0.36533091774880999"/>
    <n v="0.39814536212984097"/>
    <n v="0.34086457906328599"/>
    <n v="0.411331030375087"/>
    <n v="0.11561697117646555"/>
    <n v="0.35365187107574053"/>
    <n v="3.4772333516537433E-4"/>
    <n v="3.472003667463671E-2"/>
    <n v="5.397873752320112E-2"/>
    <n v="3.9807752479687278E-2"/>
    <n v="6.5946027055324402E-2"/>
    <n v="3.4720036854568558E-2"/>
  </r>
  <r>
    <x v="0"/>
    <s v="Vermont"/>
    <n v="0.47759856630626502"/>
    <n v="0.34533446094371101"/>
    <n v="0.49347901112244202"/>
    <n v="0.49602123026253497"/>
    <n v="0.390007836130147"/>
    <n v="0.33994373953506102"/>
    <n v="0.374901229802793"/>
    <n v="0.32145101509283802"/>
    <s v="inf"/>
    <n v="1.7493793567356787E-2"/>
    <n v="2.5218852755964319E-4"/>
    <n v="3.3939454724564823E-4"/>
    <n v="7.6721360127855109E-3"/>
    <n v="1.8948851333410181E-2"/>
    <n v="1.0546742924907366E-2"/>
    <n v="2.4382057749949806E-2"/>
    <e v="#VALUE!"/>
  </r>
  <r>
    <x v="0"/>
    <s v="Virginia"/>
    <n v="0.59876204663258104"/>
    <n v="0.52799673635318201"/>
    <n v="0.85210293720214902"/>
    <n v="0.71403343827057397"/>
    <n v="0.52883870440831404"/>
    <n v="0.58438785246033398"/>
    <n v="0.59307168865814697"/>
    <n v="0.64166456805273897"/>
    <n v="1.30717821717023"/>
    <n v="5.0077291389396183E-3"/>
    <n v="6.4181606834581822E-2"/>
    <n v="1.3287493730159548E-2"/>
    <n v="4.8892737878119593E-3"/>
    <n v="2.0661745810146126E-4"/>
    <n v="3.2380173877205391E-5"/>
    <n v="1.8406263442071105E-3"/>
    <n v="0.50185347067922725"/>
  </r>
  <r>
    <x v="0"/>
    <s v="Washington"/>
    <n v="0.37148286407731801"/>
    <n v="0.28092415568363499"/>
    <n v="0.57946201852016899"/>
    <n v="0.455497890217402"/>
    <n v="0.27749248477869898"/>
    <n v="0.31400479024295502"/>
    <n v="0.337843731125747"/>
    <n v="0.34935110827496502"/>
    <n v="19.203804818072999"/>
    <n v="8.2008796659321145E-3"/>
    <n v="4.3255328682763258E-2"/>
    <n v="7.0585246173189963E-3"/>
    <n v="8.8341914006982731E-3"/>
    <n v="3.3037289717084829E-3"/>
    <n v="1.1315912657334701E-3"/>
    <n v="4.8981461489498539E-4"/>
    <n v="354.65635017894772"/>
  </r>
  <r>
    <x v="0"/>
    <s v="West Virginia"/>
    <n v="0.48782566350798701"/>
    <n v="9.7609028922869004E-2"/>
    <n v="0.360984124604177"/>
    <n v="0.36312510706655698"/>
    <n v="0.13865968577655599"/>
    <n v="0.232386819124035"/>
    <n v="0.248773214650955"/>
    <n v="0.31085744762260398"/>
    <n v="0.91943991622928301"/>
    <n v="0.15226902190693553"/>
    <n v="1.6088775991486746E-2"/>
    <n v="1.5550228776802275E-2"/>
    <n v="0.12191688000514617"/>
    <n v="6.5249003220208865E-2"/>
    <n v="5.7146073304543903E-2"/>
    <n v="3.1317749433655534E-2"/>
    <n v="0.18629086315216278"/>
  </r>
  <r>
    <x v="0"/>
    <s v="Wisconsin"/>
    <n v="0.443139218418447"/>
    <n v="8.8289895209433297E-2"/>
    <n v="0.37422866485081502"/>
    <n v="0.375837017851816"/>
    <n v="0.24284363523170599"/>
    <n v="0.23107272171461099"/>
    <n v="0.26910391481740198"/>
    <n v="0.221538673411736"/>
    <n v="0.24284363536606701"/>
    <n v="0.12591804218189506"/>
    <n v="4.7486643929974771E-3"/>
    <n v="4.5295862011110258E-3"/>
    <n v="4.011832064411669E-2"/>
    <n v="4.4972199024238088E-2"/>
    <n v="3.0288286899507914E-2"/>
    <n v="4.9106801547271352E-2"/>
    <n v="4.0118320590292848E-2"/>
  </r>
  <r>
    <x v="0"/>
    <s v="Wyoming"/>
    <n v="0.14467253180121101"/>
    <n v="-0.17722239248063301"/>
    <n v="0.33484418368360302"/>
    <n v="0.18411984908827"/>
    <n v="0.10992616729917"/>
    <n v="0.104499669836752"/>
    <n v="0.14839620817627699"/>
    <n v="8.1506172417615694E-2"/>
    <n v="0.10992620394814601"/>
    <n v="0.1036163422784141"/>
    <n v="3.6165257179677696E-2"/>
    <n v="1.5560908411459036E-3"/>
    <n v="1.2073098461086954E-3"/>
    <n v="1.6138588384154769E-3"/>
    <n v="1.3865765746224572E-5"/>
    <n v="3.9899889577775195E-3"/>
    <n v="1.2073072992726808E-3"/>
  </r>
  <r>
    <x v="1"/>
    <s v="Alabama"/>
    <n v="0.39467004276703999"/>
    <n v="-0.36105783447086098"/>
    <n v="0.37413256919534599"/>
    <n v="0.270126199713357"/>
    <n v="0.13214224260615801"/>
    <n v="0.124337691865641"/>
    <n v="0.16677734271076899"/>
    <n v="0.114447666820361"/>
    <n v="0.13214316849621599"/>
    <n v="0.57112462443450396"/>
    <n v="4.2178782070802944E-4"/>
    <n v="1.5511168842580421E-2"/>
    <n v="6.8920845857311966E-2"/>
    <n v="7.3079579943877093E-2"/>
    <n v="5.1935082738937495E-2"/>
    <n v="7.8524579981201895E-2"/>
    <n v="6.8920359714409032E-2"/>
  </r>
  <r>
    <x v="1"/>
    <s v="Alaska"/>
    <n v="0.18945868918408901"/>
    <n v="-0.16755697994090199"/>
    <n v="0.105603970681221"/>
    <n v="0.157601573194591"/>
    <n v="0.16319500747162599"/>
    <n v="6.7832127139332999E-3"/>
    <n v="4.5061676731887601E-2"/>
    <n v="1.9886439914540001E-4"/>
    <n v="0.16392988464131"/>
    <n v="0.12746018800076506"/>
    <n v="7.0316138151952342E-3"/>
    <n v="1.0148758391683294E-3"/>
    <n v="6.8978097709356423E-4"/>
    <n v="3.3370329703598406E-2"/>
    <n v="2.0850497205121207E-2"/>
    <n v="3.5819281277627554E-2"/>
    <n v="6.5171986138341396E-4"/>
  </r>
  <r>
    <x v="1"/>
    <s v="Arizona"/>
    <n v="0.53441216416866899"/>
    <n v="0.44770149211024302"/>
    <n v="0.68473741862362403"/>
    <n v="0.46510800666625302"/>
    <n v="0.31354454390943798"/>
    <n v="0.33032810905064802"/>
    <n v="0.35423731380374901"/>
    <n v="0.355225315890767"/>
    <n v="5.4055938287779003E+96"/>
    <n v="7.5187406488238951E-3"/>
    <n v="2.2597682126946978E-2"/>
    <n v="4.8030662471196806E-3"/>
    <n v="4.8782505678975872E-2"/>
    <n v="4.1650301553415418E-2"/>
    <n v="3.2462976704021304E-2"/>
    <n v="3.2107926595767868E-2"/>
    <n v="2.9220444641721718E+193"/>
  </r>
  <r>
    <x v="1"/>
    <s v="Arkansas"/>
    <n v="0.175640823777268"/>
    <n v="-0.124055314447072"/>
    <n v="0.22455743304762199"/>
    <n v="0.15631945167572101"/>
    <n v="0.136511503801548"/>
    <n v="7.6490396814429706E-2"/>
    <n v="0.123181683942531"/>
    <n v="2.5734491170505601E-2"/>
    <n v="0.136513539518405"/>
    <n v="8.9817775266582703E-2"/>
    <n v="2.3928346625084816E-3"/>
    <n v="3.7331541988643859E-4"/>
    <n v="1.5311036817622803E-3"/>
    <n v="9.8308071669131313E-3"/>
    <n v="2.7519613522004908E-3"/>
    <n v="2.2471908555609273E-2"/>
    <n v="1.5309443734738682E-3"/>
  </r>
  <r>
    <x v="1"/>
    <s v="California"/>
    <n v="0.303954538975237"/>
    <n v="0.24291686913796701"/>
    <n v="0.61130747133233598"/>
    <n v="0.49233712758095599"/>
    <n v="0.355835463804902"/>
    <n v="0.36755416864488699"/>
    <n v="0.39642073032455499"/>
    <n v="0.36245102134716001"/>
    <n v="1.47399177199389"/>
    <n v="3.7255971391635789E-3"/>
    <n v="9.4465825028507464E-2"/>
    <n v="3.548799968979157E-2"/>
    <n v="2.69163036118135E-3"/>
    <n v="4.044912894116624E-3"/>
    <n v="8.5499965426486906E-3"/>
    <n v="3.4218384498886992E-3"/>
    <n v="1.3689871266499458"/>
  </r>
  <r>
    <x v="1"/>
    <s v="Colorado"/>
    <n v="0.107554161325536"/>
    <n v="-7.1687527764179498E-2"/>
    <n v="0.524002290772699"/>
    <n v="0.27836478553453903"/>
    <n v="0.10449299646547799"/>
    <n v="0.168873441557332"/>
    <n v="0.19598477718533899"/>
    <n v="0.20645396313544601"/>
    <n v="0.18531352140091201"/>
    <n v="3.2127583107734232E-2"/>
    <n v="0.17342904452004104"/>
    <n v="2.9176269342669252E-2"/>
    <n v="9.3707303004539285E-6"/>
    <n v="3.7600541281455281E-3"/>
    <n v="7.8199738213440406E-3"/>
    <n v="9.7811707980394787E-3"/>
    <n v="6.0465180793319809E-3"/>
  </r>
  <r>
    <x v="1"/>
    <s v="Connecticut"/>
    <n v="0.29195261081982499"/>
    <n v="-3.1287152347987401E-2"/>
    <n v="0.47169828116545798"/>
    <n v="0.25312741264322502"/>
    <n v="0.215739053151081"/>
    <n v="9.0900496602894496E-2"/>
    <n v="0.14284472285240701"/>
    <n v="4.7102342969304399E-2"/>
    <n v="0.21583056140531801"/>
    <n v="0.10448394449278345"/>
    <n v="3.2308506008000969E-2"/>
    <n v="1.507396013452261E-3"/>
    <n v="5.8085063725269665E-3"/>
    <n v="4.0421952631097657E-2"/>
    <n v="2.2233162254104068E-2"/>
    <n v="5.995165366647167E-2"/>
    <n v="5.7945664070646425E-3"/>
  </r>
  <r>
    <x v="1"/>
    <s v="Delaware"/>
    <n v="0.94736842105263097"/>
    <n v="0.170932906881721"/>
    <n v="0.26000979162617699"/>
    <n v="0.25859651227981101"/>
    <n v="0.13345284355480899"/>
    <n v="0.119846683322905"/>
    <n v="0.14131853954097201"/>
    <n v="0.154946773248298"/>
    <n v="3.5730596323430503E+104"/>
    <n v="0.60285210766584529"/>
    <n v="0.47246188544701329"/>
    <n v="0.47440674231455376"/>
    <n v="0.66245856729361297"/>
    <n v="0.6847922264152253"/>
    <n v="0.64971641148495951"/>
    <n v="0.62793206790893441"/>
    <n v="1.2766755136279454E+209"/>
  </r>
  <r>
    <x v="1"/>
    <s v="District of Columbia"/>
    <n v="0.71162280701586"/>
    <n v="0.56621268086893894"/>
    <n v="0.82313253797309605"/>
    <n v="0.81846813064436696"/>
    <n v="0.64042503903252201"/>
    <n v="0.46030526273449901"/>
    <n v="0.49843649405981"/>
    <n v="0.33880923589446199"/>
    <n v="0.64051716413740201"/>
    <n v="2.1144104786063496E-2"/>
    <n v="1.2434420098155166E-2"/>
    <n v="1.1415923181280388E-2"/>
    <n v="5.069122165809228E-3"/>
    <n v="6.3160508063613841E-2"/>
    <n v="4.5448404031794898E-2"/>
    <n v="0.1389899588122897"/>
    <n v="5.0560124491588043E-3"/>
  </r>
  <r>
    <x v="1"/>
    <s v="Florida"/>
    <n v="0.55685613103424403"/>
    <n v="0.184937466679409"/>
    <n v="0.66813015478465898"/>
    <n v="0.61404078321321498"/>
    <n v="0.38097936702665303"/>
    <n v="0.48579899806216098"/>
    <n v="0.49657688316052701"/>
    <n v="0.56428908073808404"/>
    <n v="0.663593035948147"/>
    <n v="0.13832349289548443"/>
    <n v="1.2381908361607911E-2"/>
    <n v="3.2700844448298873E-3"/>
    <n v="3.0932636117781857E-2"/>
    <n v="5.0491161462122916E-3"/>
    <n v="3.6335877242210184E-3"/>
    <n v="5.5248741299815264E-5"/>
    <n v="1.1392766870599565E-2"/>
  </r>
  <r>
    <x v="1"/>
    <s v="Georgia"/>
    <n v="0.33354380152503299"/>
    <n v="0.12747045057818501"/>
    <n v="0.447800613730095"/>
    <n v="0.30237407628764501"/>
    <n v="0.209592536317631"/>
    <n v="0.15379142770797399"/>
    <n v="0.199789840394031"/>
    <n v="0.13238651645249899"/>
    <s v="inf"/>
    <n v="4.2466225970462769E-2"/>
    <n v="1.3054619135262806E-2"/>
    <n v="9.7155177137426109E-4"/>
    <n v="1.5363916146515702E-2"/>
    <n v="3.231091589286772E-2"/>
    <n v="1.7890122118233591E-2"/>
    <n v="4.0464253337752706E-2"/>
    <e v="#VALUE!"/>
  </r>
  <r>
    <x v="1"/>
    <s v="Hawaii"/>
    <n v="0.79591836732673205"/>
    <n v="0.72446160137166504"/>
    <n v="0.98420122767586804"/>
    <n v="0.90401809610375605"/>
    <n v="0.77686869644659995"/>
    <n v="0.71714717486141399"/>
    <n v="0.72741766797677998"/>
    <n v="0.66264155222208498"/>
    <n v="0.77688501381897901"/>
    <n v="5.106069400757223E-3"/>
    <n v="3.545043550125225E-2"/>
    <n v="1.1685551361666153E-2"/>
    <n v="3.6288996064135279E-4"/>
    <n v="6.2049007624081793E-3"/>
    <n v="4.6923458114325233E-3"/>
    <n v="1.7762709444438279E-2"/>
    <n v="3.6226854575109482E-4"/>
  </r>
  <r>
    <x v="1"/>
    <s v="Idaho"/>
    <n v="0.25748972367579198"/>
    <n v="-0.34309006019803001"/>
    <n v="0.18705730883199501"/>
    <n v="0.245845998614561"/>
    <n v="0.110441781519433"/>
    <n v="0.14491193464727301"/>
    <n v="0.1858803362233"/>
    <n v="0.129849826594477"/>
    <n v="0.110486797730141"/>
    <n v="0.36069607679792681"/>
    <n v="4.9607250607287129E-3"/>
    <n v="1.3557633330153854E-4"/>
    <n v="2.1623097292419895E-2"/>
    <n v="1.2673758582549727E-2"/>
    <n v="5.1279043713211162E-3"/>
    <n v="1.6291943326928682E-2"/>
    <n v="2.1609860236582547E-2"/>
  </r>
  <r>
    <x v="1"/>
    <s v="Illinois"/>
    <n v="0.20773516439465101"/>
    <n v="0.14024032421882501"/>
    <n v="0.43892115701870599"/>
    <n v="0.32586673719909998"/>
    <n v="0.29613311398331399"/>
    <n v="0.23929293488242001"/>
    <n v="0.28973329691822702"/>
    <n v="0.15917486645399201"/>
    <n v="0.29662869023614402"/>
    <n v="4.5555534503602946E-3"/>
    <n v="5.3446963185569601E-2"/>
    <n v="1.3955068493252827E-2"/>
    <n v="7.8141974914798015E-3"/>
    <n v="9.9589287815870435E-4"/>
    <n v="6.7236937373539351E-3"/>
    <n v="2.3581025360855704E-3"/>
    <n v="7.9020589365321869E-3"/>
  </r>
  <r>
    <x v="1"/>
    <s v="Indiana"/>
    <n v="0.21261219356119099"/>
    <n v="-7.3413742659371506E-2"/>
    <n v="0.33334922829980002"/>
    <n v="0.23113625033165"/>
    <n v="0.20597539622224401"/>
    <n v="8.1543040862326693E-2"/>
    <n v="0.14229018070576299"/>
    <n v="2.4060014293859702E-2"/>
    <n v="0.20997290894611301"/>
    <n v="8.1810836190849279E-2"/>
    <n v="1.4577431557472082E-2"/>
    <n v="3.4314067923518841E-4"/>
    <n v="4.4047078918253734E-5"/>
    <n v="1.7179122789198205E-2"/>
    <n v="4.9451854920389803E-3"/>
    <n v="3.5551924306459835E-2"/>
    <n v="6.9658232793873225E-6"/>
  </r>
  <r>
    <x v="1"/>
    <s v="Iowa"/>
    <n v="0.174500325567611"/>
    <n v="6.1935450062389E-3"/>
    <n v="0.340196555307895"/>
    <n v="0.25189841065011598"/>
    <n v="0.22758708650829401"/>
    <n v="0.16322616824736599"/>
    <n v="0.222056345393812"/>
    <n v="8.5527125892889105E-2"/>
    <n v="0.229107930814135"/>
    <n v="2.8327172382933863E-2"/>
    <n v="2.7455240550144977E-2"/>
    <n v="5.9904635744386803E-3"/>
    <n v="2.8182041871732278E-3"/>
    <n v="1.27106623281634E-4"/>
    <n v="2.2615750217100227E-3"/>
    <n v="7.9162302603579312E-3"/>
    <n v="2.9819905507601956E-3"/>
  </r>
  <r>
    <x v="1"/>
    <s v="Louisiana"/>
    <n v="0.581799192899493"/>
    <n v="-3.4118943662393001E-3"/>
    <n v="0.62447843518335699"/>
    <n v="0.52101738773583695"/>
    <n v="0.34080863591173799"/>
    <n v="0.38483880396769499"/>
    <n v="0.41242188779599198"/>
    <n v="0.393284439151876"/>
    <n v="0.38577183208418198"/>
    <n v="0.34247201665874061"/>
    <n v="1.8215177219247643E-3"/>
    <n v="3.6944278389526458E-3"/>
    <n v="5.8076448557268394E-2"/>
    <n v="3.8793394808165141E-2"/>
    <n v="2.8688671484124472E-2"/>
    <n v="3.5537812380524676E-2"/>
    <n v="3.8426726188216138E-2"/>
  </r>
  <r>
    <x v="1"/>
    <s v="Maine"/>
    <n v="4.3354552722025798E-2"/>
    <n v="0.17155112329526401"/>
    <n v="0.30702960630348802"/>
    <n v="0.23395663203499001"/>
    <n v="0.21890143605137299"/>
    <n v="0.12655787265886501"/>
    <n v="0.17571010461156999"/>
    <n v="8.90472012995875E-2"/>
    <s v="inf"/>
    <n v="1.6434360706739246E-2"/>
    <n v="6.952453388118697E-2"/>
    <n v="3.6329152638425503E-2"/>
    <n v="3.081670824664744E-2"/>
    <n v="6.9227924485120258E-3"/>
    <n v="1.7517992115985828E-2"/>
    <n v="2.0878181340325515E-3"/>
    <e v="#VALUE!"/>
  </r>
  <r>
    <x v="1"/>
    <s v="Maryland"/>
    <n v="0.22584633720237701"/>
    <n v="-0.387040863820244"/>
    <n v="7.6188833348049906E-2"/>
    <n v="5.47668922237926E-2"/>
    <n v="5.0326292916334503E-2"/>
    <n v="8.0314245399230998E-3"/>
    <n v="2.8821517688929099E-2"/>
    <n v="2.1732848239330001E-3"/>
    <n v="5.18386160974642E-2"/>
    <n v="0.37563072117734259"/>
    <n v="2.2397368459907932E-2"/>
    <n v="2.9268176494180488E-2"/>
    <n v="3.0807285946174323E-2"/>
    <n v="4.7443336178152433E-2"/>
    <n v="3.8818779504306726E-2"/>
    <n v="5.0029634360290155E-2"/>
    <n v="3.0278687004125115E-2"/>
  </r>
  <r>
    <x v="1"/>
    <s v="Massachusetts"/>
    <n v="0.440603156180083"/>
    <n v="-0.38635650107072"/>
    <n v="7.0827427813593302E-2"/>
    <n v="7.3838360102117806E-2"/>
    <n v="6.91489020686957E-2"/>
    <n v="1.6554198457864901E-2"/>
    <n v="4.6618756028405199E-2"/>
    <n v="5.1122320824781003E-3"/>
    <n v="6.9151856694992603E-2"/>
    <n v="0.68386227472036554"/>
    <n v="0.13673408928896796"/>
    <n v="0.13451641564211139"/>
    <n v="0.13797826289744711"/>
    <n v="0.17981751854529954"/>
    <n v="0.15522370756287737"/>
    <n v="0.18965234497138589"/>
    <n v="0.13797606788916231"/>
  </r>
  <r>
    <x v="1"/>
    <s v="Michigan"/>
    <n v="6.6792809592163604E-2"/>
    <n v="-0.12003519042510399"/>
    <n v="0.50700886041165105"/>
    <n v="0.19105149853171199"/>
    <n v="0.144317628038964"/>
    <n v="8.5254967509888896E-2"/>
    <n v="0.138603247318249"/>
    <n v="4.0943097116009401E-2"/>
    <n v="0.14431611193046101"/>
    <n v="3.4904701590452142E-2"/>
    <n v="0.19379017139910557"/>
    <n v="1.5440221776975445E-2"/>
    <n v="6.010097475209363E-3"/>
    <n v="3.4085127497902667E-4"/>
    <n v="5.1567389664119879E-3"/>
    <n v="6.6820763509984227E-4"/>
    <n v="6.0098624054350678E-3"/>
  </r>
  <r>
    <x v="1"/>
    <s v="Minnesota"/>
    <n v="0.151317680671685"/>
    <n v="-6.6533463528418199E-2"/>
    <n v="0.41301746301133402"/>
    <n v="0.35139795002991803"/>
    <n v="0.34322807828698199"/>
    <n v="0.12813841650763999"/>
    <n v="0.193856676283505"/>
    <n v="5.4869925596204898E-2"/>
    <n v="0.35059754719492597"/>
    <n v="4.7459121029294164E-2"/>
    <n v="6.8486776076619668E-2"/>
    <n v="4.0032114186463082E-2"/>
    <n v="3.6829600712861392E-2"/>
    <n v="5.3727828718658102E-4"/>
    <n v="1.8095661476624418E-3"/>
    <n v="9.3021694590997954E-3"/>
    <n v="3.971246520152074E-2"/>
  </r>
  <r>
    <x v="1"/>
    <s v="Mississippi"/>
    <n v="0.57378180221216901"/>
    <n v="0.12367676739036799"/>
    <n v="0.32455873382650602"/>
    <n v="0.30737407036175401"/>
    <n v="0.145831851243968"/>
    <n v="0.15877557527438299"/>
    <n v="0.19319577013664899"/>
    <n v="0.17962828355185401"/>
    <s v="inf"/>
    <n v="0.20259454237193472"/>
    <n v="6.2112137815564857E-2"/>
    <n v="7.0973079589682617E-2"/>
    <n v="0.18314116053368562"/>
    <n v="0.17223016839713712"/>
    <n v="0.14484572781098873"/>
    <n v="0.15535699627230729"/>
    <e v="#VALUE!"/>
  </r>
  <r>
    <x v="1"/>
    <s v="Missouri"/>
    <n v="0.31218266007405898"/>
    <n v="-0.17540408815552599"/>
    <n v="0.27027442127492002"/>
    <n v="0.19415835577080001"/>
    <n v="0.17487252259427599"/>
    <n v="6.6775923740938103E-2"/>
    <n v="0.118747294010488"/>
    <n v="2.3205488519053599E-2"/>
    <n v="0.185604472531155"/>
    <n v="0.23774083704910068"/>
    <n v="1.7563004792456563E-3"/>
    <n v="1.3929736406268274E-2"/>
    <n v="1.8854073854716904E-2"/>
    <n v="6.0224466237673913E-2"/>
    <n v="3.7417240844147708E-2"/>
    <n v="8.3507805679931033E-2"/>
    <n v="1.6022037561646572E-2"/>
  </r>
  <r>
    <x v="1"/>
    <s v="Montana"/>
    <n v="4.9224369376858798E-2"/>
    <n v="0.10888734583714101"/>
    <n v="0.45658288490277799"/>
    <n v="0.38788628902104899"/>
    <n v="0.37482695728423499"/>
    <n v="0.20958190616563599"/>
    <n v="0.26974338224306799"/>
    <n v="0.119603405244643"/>
    <n v="0.38800856562964398"/>
    <n v="3.559670760100189E-3"/>
    <n v="0.16594096017148052"/>
    <n v="0.11469189581708793"/>
    <n v="0.10601704525198064"/>
    <n v="2.5714539604964025E-2"/>
    <n v="4.8628635035487325E-2"/>
    <n v="4.9532086896788546E-3"/>
    <n v="0.11477473163064565"/>
  </r>
  <r>
    <x v="1"/>
    <s v="Nebraska"/>
    <n v="0.18036629985242"/>
    <n v="-0.13561808227827901"/>
    <n v="0.200870588736768"/>
    <n v="0.17033377199941599"/>
    <n v="0.15504556290739999"/>
    <n v="7.8783401224587907E-2"/>
    <n v="0.14014133062622999"/>
    <n v="2.1359033447758202E-2"/>
    <n v="0.15657302404569701"/>
    <n v="9.9846129750519624E-2"/>
    <n v="4.2042586265279668E-4"/>
    <n v="1.0065161512130133E-4"/>
    <n v="6.4113971943890167E-4"/>
    <n v="1.0319085293632412E-2"/>
    <n v="1.6180481492479334E-3"/>
    <n v="2.5283310769483092E-2"/>
    <n v="5.6611997361478983E-4"/>
  </r>
  <r>
    <x v="1"/>
    <s v="Nevada"/>
    <n v="0.28193760262068901"/>
    <n v="0.21098232396970901"/>
    <n v="0.735658654276796"/>
    <n v="0.55111953642308897"/>
    <n v="0.30449939283586103"/>
    <n v="0.39614432261072702"/>
    <n v="0.41776757348316601"/>
    <n v="0.44057579979112199"/>
    <n v="0.40925002514821501"/>
    <n v="5.0346515684382186E-3"/>
    <n v="0.2058627927159237"/>
    <n v="7.245891348559963E-2"/>
    <n v="5.0903437771343183E-4"/>
    <n v="1.3043174890882947E-2"/>
    <n v="1.8449780984501351E-2"/>
    <n v="2.5166077601485169E-2"/>
    <n v="1.6208452929827311E-2"/>
  </r>
  <r>
    <x v="1"/>
    <s v="New Hampshire"/>
    <n v="0.167587201713919"/>
    <n v="7.9296095254995896E-2"/>
    <n v="0.29030408991666401"/>
    <n v="0.227711614229059"/>
    <n v="0.21502456810576101"/>
    <n v="7.6782929748566306E-2"/>
    <n v="0.13324581390839799"/>
    <n v="3.2348467554259998E-2"/>
    <n v="0.28578563304196097"/>
    <n v="7.7953194797408931E-3"/>
    <n v="1.5059434650165017E-2"/>
    <n v="3.6149449802907237E-3"/>
    <n v="2.2503037301938619E-3"/>
    <n v="8.2454158071577372E-3"/>
    <n v="1.1793309164091872E-3"/>
    <n v="1.8289515217106918E-2"/>
    <n v="1.3970869168409854E-2"/>
  </r>
  <r>
    <x v="1"/>
    <s v="New Jersey"/>
    <n v="0.145275860768042"/>
    <n v="9.8136857357165996E-3"/>
    <n v="0.68389529624899303"/>
    <n v="0.25821972408737798"/>
    <n v="0.196258180469886"/>
    <n v="0.12741573406444701"/>
    <n v="0.175195243234746"/>
    <n v="9.96100576052526E-2"/>
    <n v="0.19625655420773899"/>
    <n v="1.8350000864488365E-2"/>
    <n v="0.29011089627781839"/>
    <n v="1.2756316261496847E-2"/>
    <n v="2.5991969221810306E-3"/>
    <n v="3.1898412586846693E-4"/>
    <n v="8.9516944718891493E-4"/>
    <n v="2.0853655785026261E-3"/>
    <n v="2.5990311035923642E-3"/>
  </r>
  <r>
    <x v="1"/>
    <s v="New Mexico"/>
    <n v="0.29193451925566299"/>
    <n v="-0.226682150716596"/>
    <n v="0.26665810073055701"/>
    <n v="0.17888856340602799"/>
    <n v="6.8630290314118103E-2"/>
    <n v="7.3730860856431393E-2"/>
    <n v="0.10574957473713199"/>
    <n v="7.6703364224166695E-2"/>
    <n v="7.3886768705149694E-2"/>
    <n v="0.26896325037311497"/>
    <n v="6.3889733345632086E-4"/>
    <n v="1.2779388133957627E-2"/>
    <n v="4.9864778663177893E-2"/>
    <n v="4.7612836538808559E-2"/>
    <n v="3.4664833565368473E-2"/>
    <n v="4.6324450096192002E-2"/>
    <n v="4.754482152013887E-2"/>
  </r>
  <r>
    <x v="1"/>
    <s v="New York"/>
    <n v="0.10078387817388799"/>
    <n v="-4.4806870261958599E-2"/>
    <n v="0.44054464953771599"/>
    <n v="0.25483082872296098"/>
    <n v="0.222382443556047"/>
    <n v="8.8004457804153197E-2"/>
    <n v="0.138796801264574"/>
    <n v="4.6338948110727397E-2"/>
    <n v="0.223280508548026"/>
    <n v="2.1196666030109969E-2"/>
    <n v="0.11543738175774339"/>
    <n v="2.3730462973468532E-2"/>
    <n v="1.4786211102999198E-2"/>
    <n v="1.6331358498639269E-4"/>
    <n v="1.4449823218984092E-3"/>
    <n v="2.9642504095824486E-3"/>
    <n v="1.5005424453018191E-2"/>
  </r>
  <r>
    <x v="1"/>
    <s v="North Carolina"/>
    <n v="0.26935428261031402"/>
    <n v="-0.113523242602022"/>
    <n v="0.20555620915821701"/>
    <n v="0.22615214623013799"/>
    <n v="0.21376185009409299"/>
    <n v="2.6430863623828002E-3"/>
    <n v="0.35087190340039498"/>
    <n v="3.2660239009169999E-4"/>
    <n v="0.21798974050890799"/>
    <n v="0.14659519931272302"/>
    <n v="4.0701941761991656E-3"/>
    <n v="1.8664245878113293E-3"/>
    <n v="3.0905185530705898E-3"/>
    <n v="7.1134862204002475E-2"/>
    <n v="6.6451224992754394E-3"/>
    <n v="7.2375892724674207E-2"/>
    <n v="2.6383161852871133E-3"/>
  </r>
  <r>
    <x v="1"/>
    <s v="North Dakota"/>
    <n v="0.90909090909090895"/>
    <n v="0.86956521739130399"/>
    <n v="0.61407757889259895"/>
    <n v="0.68850326675942497"/>
    <n v="0.44095204791619602"/>
    <n v="0.28202363251207901"/>
    <n v="0.326851043454843"/>
    <n v="0.20604191474505201"/>
    <s v="inf"/>
    <n v="1.5622803043322203E-3"/>
    <n v="8.703286499469709E-2"/>
    <n v="4.8658907949362701E-2"/>
    <n v="0.21915399334195715"/>
    <n v="0.39321336935599072"/>
    <n v="0.33900326113590407"/>
    <n v="0.49427788845072068"/>
    <e v="#VALUE!"/>
  </r>
  <r>
    <x v="1"/>
    <s v="Ohio"/>
    <n v="0.11950361926084201"/>
    <n v="0.31798351996406599"/>
    <n v="0.51389944576310198"/>
    <n v="0.62874707078145997"/>
    <n v="0.34157754542295399"/>
    <n v="0.54266127554667398"/>
    <n v="0.54863461036074102"/>
    <n v="0.62730751652293704"/>
    <n v="0.61911264296978297"/>
    <n v="3.9394270983161644E-2"/>
    <n v="0.15554806796240073"/>
    <n v="0.25932889291663203"/>
    <n v="4.9316828681055157E-2"/>
    <n v="0.17906240207331831"/>
    <n v="0.1841534075223816"/>
    <n v="0.25786479807457241"/>
    <n v="0.24960917657140111"/>
  </r>
  <r>
    <x v="1"/>
    <s v="Oklahoma"/>
    <n v="0.40989805152071002"/>
    <n v="-0.26844055128857702"/>
    <n v="0.119851314605739"/>
    <n v="3.2664772368584602E-2"/>
    <n v="2.6224170043162302E-2"/>
    <n v="5.9652848285160999E-3"/>
    <n v="2.30338725467511E-2"/>
    <n v="1.8331591399782E-3"/>
    <s v="inf"/>
    <n v="0.46014326006125567"/>
    <n v="8.4127109595022412E-2"/>
    <n v="0.14230494689986536"/>
    <n v="0.14720564732804733"/>
    <n v="0.16316168000761036"/>
    <n v="0.14966389297319532"/>
    <n v="0.16651695639369821"/>
    <e v="#VALUE!"/>
  </r>
  <r>
    <x v="1"/>
    <s v="Oregon"/>
    <n v="0.172504742056618"/>
    <n v="0.38058880370651599"/>
    <n v="0.51865453473288703"/>
    <n v="0.47173277989630302"/>
    <n v="0.33660701531644799"/>
    <n v="0.37543582722671998"/>
    <n v="0.405878457610932"/>
    <n v="0.36531457570561898"/>
    <s v="inf"/>
    <n v="4.3298976712718547E-2"/>
    <n v="0.11981967896982401"/>
    <n v="8.9537418629387952E-2"/>
    <n v="2.6929556089043911E-2"/>
    <n v="4.1181025328315184E-2"/>
    <n v="5.4463291111625858E-2"/>
    <n v="3.7175631951755432E-2"/>
    <e v="#VALUE!"/>
  </r>
  <r>
    <x v="1"/>
    <s v="Pennsylvania"/>
    <n v="0.16087034518374099"/>
    <n v="-8.9679635609126701E-2"/>
    <n v="0.38115260873386703"/>
    <n v="0.204365029280277"/>
    <n v="0.175487898235688"/>
    <n v="6.7479738205909301E-2"/>
    <n v="0.113800755837713"/>
    <n v="3.3940366907699603E-2"/>
    <n v="0.17564741311683801"/>
    <n v="6.2775292875306379E-2"/>
    <n v="4.8524275634767182E-2"/>
    <n v="1.8917875446574622E-3"/>
    <n v="2.1367285722648528E-4"/>
    <n v="8.7218054716878251E-3"/>
    <n v="2.215546241203712E-3"/>
    <n v="1.6111219385156337E-2"/>
    <n v="2.1836173669936428E-4"/>
  </r>
  <r>
    <x v="1"/>
    <s v="Rhode Island"/>
    <n v="0.189578163862199"/>
    <n v="7.3627521897017295E-2"/>
    <n v="0.21064528752039299"/>
    <n v="0.15896145601456199"/>
    <n v="0.15023608277450701"/>
    <n v="3.0322740167392E-2"/>
    <n v="7.4135401426539904E-2"/>
    <n v="8.8323596377263992E-3"/>
    <s v="inf"/>
    <n v="1.3444551372137757E-2"/>
    <n v="4.4382369922963701E-4"/>
    <n v="9.3738279942755763E-4"/>
    <n v="1.547799344310532E-3"/>
    <n v="2.5362289976212492E-2"/>
    <n v="1.3327031398776022E-2"/>
    <n v="3.2669045744751372E-2"/>
    <e v="#VALUE!"/>
  </r>
  <r>
    <x v="1"/>
    <s v="South Carolina"/>
    <n v="0.16027435221195299"/>
    <n v="-2.7411715496551799E-2"/>
    <n v="0.65465526480904601"/>
    <n v="0.37523867435647701"/>
    <n v="0.21880091860545101"/>
    <n v="0.20292018763936301"/>
    <n v="0.23895118669750601"/>
    <n v="0.21642853774205101"/>
    <n v="0.36194610279822098"/>
    <n v="3.5226060011881444E-2"/>
    <n v="0.24441248674033456"/>
    <n v="4.6209659795054696E-2"/>
    <n v="3.4253589738125309E-3"/>
    <n v="1.8186672793017392E-3"/>
    <n v="6.1900442846671046E-3"/>
    <n v="3.1532925525486694E-3"/>
    <n v="4.0671494984529884E-2"/>
  </r>
  <r>
    <x v="1"/>
    <s v="South Dakota"/>
    <n v="0.17943593172163899"/>
    <n v="3.1048123700298799E-2"/>
    <n v="0.45394591087476299"/>
    <n v="0.34082831789246198"/>
    <n v="0.23287449390422399"/>
    <n v="0.222955700504607"/>
    <n v="0.262230030679237"/>
    <n v="0.198594658347655"/>
    <n v="0.23287680848858799"/>
    <n v="2.2018941569378111E-2"/>
    <n v="7.5355728654648582E-2"/>
    <n v="2.6047502313912056E-2"/>
    <n v="2.8556799281420036E-3"/>
    <n v="1.8939702749229969E-3"/>
    <n v="6.8548628222005322E-3"/>
    <n v="3.6705680593041457E-4"/>
    <n v="2.8559273096202295E-3"/>
  </r>
  <r>
    <x v="1"/>
    <s v="Tennessee"/>
    <n v="0.25433702034797701"/>
    <n v="-0.24619881084291201"/>
    <n v="0.37723717310240801"/>
    <n v="0.117149437727112"/>
    <n v="8.6111721206691694E-2"/>
    <n v="4.3975884642174903E-2"/>
    <n v="7.9637164969615107E-2"/>
    <n v="2.9626165158423898E-2"/>
    <n v="8.6039723263719697E-2"/>
    <n v="0.25053611830595407"/>
    <n v="1.5104447547062473E-2"/>
    <n v="1.882043282535666E-2"/>
    <n v="2.8299751271174928E-2"/>
    <n v="4.4251807415434892E-2"/>
    <n v="3.0520039469220567E-2"/>
    <n v="5.0494968440020306E-2"/>
    <n v="2.8323980205866763E-2"/>
  </r>
  <r>
    <x v="1"/>
    <s v="Texas"/>
    <n v="0.51391546726693704"/>
    <n v="-4.2594417051349899E-2"/>
    <n v="0.433749050643919"/>
    <n v="0.32588995548285499"/>
    <n v="0.19628507732936801"/>
    <n v="0.18187027713186099"/>
    <n v="0.22431904983332401"/>
    <n v="0.17240661003740801"/>
    <n v="0.196285076923465"/>
    <n v="0.30970325134395316"/>
    <n v="6.4266543541753041E-3"/>
    <n v="3.5353593081665982E-2"/>
    <n v="0.10088906461189216"/>
    <n v="0.1102540082918388"/>
    <n v="8.3866084990383449E-2"/>
    <n v="0.11662829956621887"/>
    <n v="0.10088906486974643"/>
  </r>
  <r>
    <x v="1"/>
    <s v="Utah"/>
    <n v="5.7605609046029998E-3"/>
    <n v="-3.6804883332801001E-3"/>
    <n v="0.25520019018499401"/>
    <n v="0.11110557926021"/>
    <n v="5.9207239611299999E-2"/>
    <n v="5.1392881967609702E-2"/>
    <n v="8.2694632073862601E-2"/>
    <n v="4.05356194913205E-2"/>
    <s v="inf"/>
    <n v="8.9133410712133074E-5"/>
    <n v="6.22201286555389E-2"/>
    <n v="1.1097572892343177E-2"/>
    <n v="2.856547464776898E-3"/>
    <n v="2.082308725597325E-3"/>
    <n v="5.9188513066767007E-3"/>
    <n v="1.2093046997096344E-3"/>
    <e v="#VALUE!"/>
  </r>
  <r>
    <x v="1"/>
    <s v="Vermont"/>
    <n v="0.20943509619765199"/>
    <n v="2.6479868337939E-3"/>
    <n v="0.27087369067898298"/>
    <n v="0.22796862859390701"/>
    <n v="0.145771559738884"/>
    <n v="0.11481866200834701"/>
    <n v="0.15633006037473199"/>
    <n v="0.100461153028438"/>
    <s v="inf"/>
    <n v="4.2760908599060204E-2"/>
    <n v="3.7747008918414347E-3"/>
    <n v="3.4349182308303437E-4"/>
    <n v="4.0530458744368813E-3"/>
    <n v="8.9522696186990821E-3"/>
    <n v="2.8201448297536171E-3"/>
    <n v="1.1875320289847082E-2"/>
    <e v="#VALUE!"/>
  </r>
  <r>
    <x v="1"/>
    <s v="Virginia"/>
    <n v="0.30211336071808897"/>
    <n v="-0.44286036315324401"/>
    <n v="3.7842438328874697E-2"/>
    <n v="5.4989990623157702E-2"/>
    <n v="5.2026306870489203E-2"/>
    <n v="1.0506971370727301E-7"/>
    <n v="5.0261771009112999E-3"/>
    <n v="0"/>
    <n v="5.2055839680584103E-2"/>
    <n v="0.55498584925872108"/>
    <n v="6.9839120420446127E-2"/>
    <n v="6.106996004707637E-2"/>
    <n v="6.2543534502172274E-2"/>
    <n v="9.127241923846055E-2"/>
    <n v="8.826079466958664E-2"/>
    <n v="9.1272482724378143E-2"/>
    <n v="6.2528763827422201E-2"/>
  </r>
  <r>
    <x v="1"/>
    <s v="Washington"/>
    <n v="0.20088261297391899"/>
    <n v="0.23903676450160499"/>
    <n v="0.43048407623201002"/>
    <n v="0.38236695898946799"/>
    <n v="0.24293386265108499"/>
    <n v="0.245818129485148"/>
    <n v="0.27986218126359602"/>
    <n v="0.25023103085002901"/>
    <s v="inf"/>
    <n v="1.4557392787976243E-3"/>
    <n v="5.2716831930256523E-2"/>
    <n v="3.2936567848691513E-2"/>
    <n v="1.7683075994113539E-3"/>
    <n v="2.0192006441309353E-3"/>
    <n v="6.2377722072237581E-3"/>
    <n v="2.4352663468751755E-3"/>
    <e v="#VALUE!"/>
  </r>
  <r>
    <x v="1"/>
    <s v="West Virginia"/>
    <n v="0.38296920608213098"/>
    <n v="-0.27711867552739999"/>
    <n v="0.17385581821054899"/>
    <n v="0.12153691309306699"/>
    <n v="0.10880060023401"/>
    <n v="3.6660217890992601E-2"/>
    <n v="8.3802496704039595E-2"/>
    <n v="1.06384696906237E-2"/>
    <n v="0.108794976431087"/>
    <n v="0.43571601144775823"/>
    <n v="4.3728408987130693E-2"/>
    <n v="6.8346843817519806E-2"/>
    <n v="7.5168424432702316E-2"/>
    <n v="0.11992991530197002"/>
    <n v="8.9500720000115386E-2"/>
    <n v="0.13863017726184207"/>
    <n v="7.5171508204743415E-2"/>
  </r>
  <r>
    <x v="1"/>
    <s v="Wisconsin"/>
    <n v="0.337988377355046"/>
    <n v="0.161413967394965"/>
    <n v="0.53117531713354105"/>
    <n v="0.47282936355284799"/>
    <n v="0.463787751753788"/>
    <n v="0.18583435032262299"/>
    <n v="0.27041933590980899"/>
    <n v="5.7706793667146497E-2"/>
    <n v="0.47237315419349302"/>
    <n v="3.1178522252750755E-2"/>
    <n v="3.7321193700979874E-2"/>
    <n v="1.8182091558795827E-2"/>
    <n v="1.5825482599114864E-2"/>
    <n v="2.3150847942183309E-2"/>
    <n v="4.5655753618281565E-3"/>
    <n v="7.8557766154597017E-2"/>
    <n v="1.8059268245919205E-2"/>
  </r>
  <r>
    <x v="1"/>
    <s v="Wyoming"/>
    <n v="5.2408478184414103E-2"/>
    <n v="0.90427350427350395"/>
    <n v="0.29723511121136698"/>
    <n v="0.20560253994151401"/>
    <n v="0.15914696761494301"/>
    <n v="0.11376990597845101"/>
    <n v="0.15314809460500201"/>
    <n v="9.2581717813362593E-2"/>
    <s v="inf"/>
    <n v="0.7256740226737658"/>
    <n v="5.9940080239314249E-2"/>
    <n v="2.3468420557638137E-2"/>
    <n v="1.1393105125911131E-2"/>
    <n v="3.7652248209228043E-3"/>
    <n v="1.0148470316567184E-2"/>
    <n v="1.6138891822849175E-3"/>
    <e v="#VALUE!"/>
  </r>
  <r>
    <x v="2"/>
    <s v="Alabama"/>
    <n v="0.52017400392254698"/>
    <n v="6.9775298589203699E-2"/>
    <n v="0.32042865092678302"/>
    <n v="0.12789457374746299"/>
    <n v="2.3573244899356E-2"/>
    <n v="5.93112969313489E-2"/>
    <n v="6.4821684098147897E-2"/>
    <n v="0.110027603690145"/>
    <n v="233415562.99455699"/>
    <n v="0.20285899376595176"/>
    <n v="3.989820604340235E-2"/>
    <n v="0.15388315133848859"/>
    <n v="0.24661231386240942"/>
    <n v="0.2123944346952549"/>
    <n v="0.20734573516946181"/>
    <n v="0.1682200696235977"/>
    <n v="5.4482824805232592E+16"/>
  </r>
  <r>
    <x v="2"/>
    <s v="Alaska"/>
    <n v="0.71062271074894301"/>
    <n v="0.210820711174354"/>
    <n v="0.24917031521629401"/>
    <n v="0.14708660194158901"/>
    <n v="3.0468716905741301E-2"/>
    <n v="9.8130144194440397E-2"/>
    <n v="9.6100746606016793E-2"/>
    <n v="0.15091987031517001"/>
    <n v="157221.78964487801"/>
    <n v="0.24980203877875751"/>
    <n v="0.21293831334282035"/>
    <n v="0.31757294592973401"/>
    <n v="0.46260945534085812"/>
    <n v="0.37514714408452177"/>
    <n v="0.37763724441407992"/>
    <n v="0.31326726958963347"/>
    <n v="24718467688.894558"/>
  </r>
  <r>
    <x v="2"/>
    <s v="Arizona"/>
    <n v="0.39067029881632398"/>
    <n v="-0.110065999635526"/>
    <n v="0.54273442728225896"/>
    <n v="0.113087650342132"/>
    <n v="1.6557351904179798E-2"/>
    <n v="4.3336939795586199E-2"/>
    <n v="5.3133072087500399E-2"/>
    <n v="8.4930466607964397E-2"/>
    <n v="477439.266663505"/>
    <n v="0.25073684058726015"/>
    <n v="2.3123499166104376E-2"/>
    <n v="7.7052126733946846E-2"/>
    <n v="0.13996049704728883"/>
    <n v="0.12064046228862875"/>
    <n v="0.11393137942778525"/>
    <n v="9.3476844998795883E-2"/>
    <n v="227947880309.6561"/>
  </r>
  <r>
    <x v="2"/>
    <s v="Arkansas"/>
    <n v="0.47072879333941398"/>
    <n v="-7.0652091609607996E-3"/>
    <n v="0.33260296817006302"/>
    <n v="0.14500989077067"/>
    <n v="2.4874730094571799E-2"/>
    <n v="8.1926911452119403E-2"/>
    <n v="8.5286399478252103E-2"/>
    <n v="0.13761655795942801"/>
    <n v="1872.6537887053901"/>
    <n v="0.22828710882532816"/>
    <n v="1.9078743578714107E-2"/>
    <n v="0.10609280349058693"/>
    <n v="0.19878584571193572"/>
    <n v="0.15116690335910177"/>
    <n v="0.14856583898542303"/>
    <n v="0.11096376135985117"/>
    <n v="3505069.4098216486"/>
  </r>
  <r>
    <x v="2"/>
    <s v="California"/>
    <n v="0.45203429064431599"/>
    <n v="-7.4165153119275698E-2"/>
    <n v="0.216116546536611"/>
    <n v="9.5705875526319401E-2"/>
    <n v="1.2304133789413E-2"/>
    <n v="5.6977265855555403E-2"/>
    <n v="5.6574446594663E-2"/>
    <n v="9.6906288654483697E-2"/>
    <n v="7348.80104994665"/>
    <n v="0.27688585461711335"/>
    <n v="5.5657181984868576E-2"/>
    <n v="0.12696993942050333"/>
    <n v="0.19336261084763762"/>
    <n v="0.1560700528349474"/>
    <n v="0.15638848825577586"/>
    <n v="0.12611589779729032"/>
    <n v="53998233.25589259"/>
  </r>
  <r>
    <x v="2"/>
    <s v="Colorado"/>
    <n v="0.57820778618370405"/>
    <n v="9.8442764354603904E-2"/>
    <n v="0.270648483472817"/>
    <n v="0.13789423021105099"/>
    <n v="2.4314951903104499E-2"/>
    <n v="0.36787943440982401"/>
    <n v="0.108677780929895"/>
    <n v="0.14227881656350699"/>
    <n v="130.11848251194701"/>
    <n v="0.23017447617067693"/>
    <n v="9.4592724684007048E-2"/>
    <n v="0.19387602757328271"/>
    <n v="0.30679727186739569"/>
    <n v="4.4238015559917028E-2"/>
    <n v="0.22045842583364197"/>
    <n v="0.19003406655412669"/>
    <n v="16780.682776026231"/>
  </r>
  <r>
    <x v="2"/>
    <s v="Connecticut"/>
    <n v="0.59882910913318299"/>
    <n v="4.2703460799498397E-2"/>
    <n v="0.20036595027324799"/>
    <n v="0.13649234973493499"/>
    <n v="2.3538736181382601E-2"/>
    <n v="9.4906087218523602E-2"/>
    <n v="9.3124046180541195E-2"/>
    <n v="0.139014316725562"/>
    <n v="295.12491778041999"/>
    <n v="0.30927573673456105"/>
    <n v="0.15877288896863778"/>
    <n v="0.2137552790908735"/>
    <n v="0.33095901321102161"/>
    <n v="0.25393841201560235"/>
    <n v="0.25573761069593542"/>
    <n v="0.21142964331686362"/>
    <n v="86745.61690800669"/>
  </r>
  <r>
    <x v="2"/>
    <s v="Delaware"/>
    <n v="0.54518072285254704"/>
    <n v="-1.75421690434256E-2"/>
    <n v="0.19147450861923301"/>
    <n v="8.9347569084055306E-2"/>
    <n v="1.07869443376515E-2"/>
    <n v="5.2291914822745297E-2"/>
    <n v="5.2021496125865103E-2"/>
    <n v="8.99970565058857E-2"/>
    <n v="17312.904004754098"/>
    <n v="0.31665705306376657"/>
    <n v="0.12510808598726306"/>
    <n v="0.20778386407452945"/>
    <n v="0.28557671051542727"/>
    <n v="0.24293937708103874"/>
    <n v="0.24320602290565888"/>
    <n v="0.20719217010878874"/>
    <n v="299717768.05201256"/>
  </r>
  <r>
    <x v="2"/>
    <s v="District of Columbia"/>
    <n v="0.33870967747580599"/>
    <n v="-0.245814618642166"/>
    <n v="0.13224503852165501"/>
    <n v="4.3100603019242303E-2"/>
    <n v="2.7633702215099998E-3"/>
    <n v="1.9486334306264199E-2"/>
    <n v="2.01983909444526E-2"/>
    <n v="4.2085557820896603E-2"/>
    <n v="41219.070969048502"/>
    <n v="0.34166865275221059"/>
    <n v="4.2627647138467922E-2"/>
    <n v="8.7384724901066219E-2"/>
    <n v="0.11285992135779783"/>
    <n v="0.10190354282433906"/>
    <n v="0.10144943964785791"/>
    <n v="8.798586836104999E-2"/>
    <n v="1698983889.0697138"/>
  </r>
  <r>
    <x v="2"/>
    <s v="Florida"/>
    <n v="0.45574895620692601"/>
    <n v="5.9489797157860997E-3"/>
    <n v="0.245429409581265"/>
    <n v="7.3521472801934801E-2"/>
    <n v="8.8168551638724002E-3"/>
    <n v="3.5396537130806899E-2"/>
    <n v="3.6439454282198899E-2"/>
    <n v="7.0336029531267802E-2"/>
    <n v="374634928.83247101"/>
    <n v="0.20232001885143"/>
    <n v="4.4234311692823602E-2"/>
    <n v="0.14609784907011286"/>
    <n v="0.19974830294275825"/>
    <n v="0.17669615622314525"/>
    <n v="0.17582045840436272"/>
    <n v="0.14854312404869627"/>
    <n v="1.4035132955983165E+17"/>
  </r>
  <r>
    <x v="2"/>
    <s v="Georgia"/>
    <n v="0.46339433331463498"/>
    <n v="2.4365453800802898E-2"/>
    <n v="0.26816044139303102"/>
    <n v="0.11904127672352501"/>
    <n v="1.98342671687964E-2"/>
    <n v="5.9701598498708298E-2"/>
    <n v="6.3182206633694504E-2"/>
    <n v="0.109304840573374"/>
    <n v="2802219.8496939801"/>
    <n v="0.19274635704717089"/>
    <n v="3.8116272554856535E-2"/>
    <n v="0.1185790275836402"/>
    <n v="0.19674553227930072"/>
    <n v="0.16296782414316208"/>
    <n v="0.16016974634248116"/>
    <n v="0.12537936886976353"/>
    <n v="7852433488953.5703"/>
  </r>
  <r>
    <x v="2"/>
    <s v="Hawaii"/>
    <n v="0.436102768706364"/>
    <n v="-0.10531043953207"/>
    <n v="0.15594727657183999"/>
    <n v="6.9732666651298E-2"/>
    <n v="7.9977202247193992E-3"/>
    <n v="2.8603432702903199E-2"/>
    <n v="3.0676477667386098E-2"/>
    <n v="6.2095356143750197E-2"/>
    <n v="50559458.660892799"/>
    <n v="0.29312826205503389"/>
    <n v="7.848709977313735E-2"/>
    <n v="0.13422705167983948"/>
    <n v="0.18327393253547128"/>
    <n v="0.16605570884326143"/>
    <n v="0.164370477465622"/>
    <n v="0.13988154465178124"/>
    <n v="2556258815984288"/>
  </r>
  <r>
    <x v="2"/>
    <s v="Idaho"/>
    <n v="0.62024176957991595"/>
    <n v="0.198449441586563"/>
    <n v="0.32260122999123098"/>
    <n v="0.20953092199017101"/>
    <n v="5.6253688887831499E-2"/>
    <n v="0.14593784033374399"/>
    <n v="0.145447750917857"/>
    <n v="0.210277058695996"/>
    <n v="594.60039619590896"/>
    <n v="0.17790876795405225"/>
    <n v="8.8589890806643548E-2"/>
    <n v="0.16868340032788673"/>
    <n v="0.3180825551627412"/>
    <n v="0.22496421729835767"/>
    <n v="0.22542936015726758"/>
    <n v="0.16807106417013606"/>
    <n v="352812.42385232565"/>
  </r>
  <r>
    <x v="2"/>
    <s v="Illinois"/>
    <n v="0.53797376661758001"/>
    <n v="-0.11185758209630101"/>
    <n v="0.199867980878526"/>
    <n v="0.12377584825014"/>
    <n v="1.7804189281845399E-2"/>
    <n v="8.1949403025581097E-2"/>
    <n v="8.1056391669580299E-2"/>
    <n v="0.124940075868033"/>
    <n v="41.708565279917998"/>
    <n v="0.42228078177130168"/>
    <n v="0.11431552235022312"/>
    <n v="0.17155991557992051"/>
    <n v="0.27057638918563681"/>
    <n v="0.20795822018948765"/>
    <n v="0.20877348752937097"/>
    <n v="0.17059682969419243"/>
    <n v="1695.0176055550442"/>
  </r>
  <r>
    <x v="2"/>
    <s v="Indiana"/>
    <n v="0.66029379257698295"/>
    <n v="3.9867409597996603E-2"/>
    <n v="0.229528321061262"/>
    <n v="0.12176757865715"/>
    <n v="1.9666509676683999E-2"/>
    <n v="8.1246518122807906E-2"/>
    <n v="7.9559599155269306E-2"/>
    <n v="0.124274587640659"/>
    <n v="1627.9822527353399"/>
    <n v="0.3849288966963878"/>
    <n v="0.18555889145016141"/>
    <n v="0.29001048307882965"/>
    <n v="0.41040331559621962"/>
    <n v="0.33529574605280871"/>
    <n v="0.33725220340916828"/>
    <n v="0.28731658806056881"/>
    <n v="2648176.7580573112"/>
  </r>
  <r>
    <x v="2"/>
    <s v="Iowa"/>
    <n v="0.59111818824552997"/>
    <n v="-7.1132536508673003E-2"/>
    <n v="0.223709652672689"/>
    <n v="0.12885841609330501"/>
    <n v="1.9918205752300699E-2"/>
    <n v="8.1876054307845697E-2"/>
    <n v="8.1876935396552802E-2"/>
    <n v="0.128778273181019"/>
    <n v="157.218205426428"/>
    <n v="0.43857602243746713"/>
    <n v="0.13498903201177956"/>
    <n v="0.21368409695022694"/>
    <n v="0.32626942000026538"/>
    <n v="0.25932755097740634"/>
    <n v="0.25932665360319584"/>
    <n v="0.21375819706185925"/>
    <n v="24532.04445671722"/>
  </r>
  <r>
    <x v="2"/>
    <s v="Kansas"/>
    <n v="0.60540352506747996"/>
    <n v="6.5797381490905998E-2"/>
    <n v="0.26953556259762401"/>
    <n v="0.13460314456976699"/>
    <n v="2.4927121438806099E-2"/>
    <n v="0.102518628008459"/>
    <n v="9.8512846136261698E-2"/>
    <n v="0.14141229072872899"/>
    <n v="652.64315721469904"/>
    <n v="0.29117479018558218"/>
    <n v="0.11280728821365256"/>
    <n v="0.22165299827679133"/>
    <n v="0.33695285516967904"/>
    <n v="0.25289321969006212"/>
    <n v="0.25693816038735146"/>
    <n v="0.21528786554319776"/>
    <n v="425153.23223662068"/>
  </r>
  <r>
    <x v="2"/>
    <s v="Kentucky"/>
    <n v="0.57335106386447898"/>
    <n v="-3.7355693188294098E-2"/>
    <n v="0.23065107138110699"/>
    <n v="0.117316506565124"/>
    <n v="1.7506772476754601E-2"/>
    <n v="6.5339275059141097E-2"/>
    <n v="6.7601210403369305E-2"/>
    <n v="0.112844174206675"/>
    <n v="1700.8004576525"/>
    <n v="0.37296274310991484"/>
    <n v="0.11744328484810324"/>
    <n v="0.20796751745121869"/>
    <n v="0.30896287626832147"/>
    <n v="0.25807597756519929"/>
    <n v="0.25578291427593391"/>
    <n v="0.21206659542230483"/>
    <n v="2890772.2139787632"/>
  </r>
  <r>
    <x v="2"/>
    <s v="Louisiana"/>
    <n v="0.443520544870594"/>
    <n v="-1.7305058912149202E-2"/>
    <n v="0.28752610279983498"/>
    <n v="9.6331455554398995E-2"/>
    <n v="1.2915498102215E-2"/>
    <n v="5.98639909591843E-2"/>
    <n v="5.8631577102708797E-2"/>
    <n v="9.8597143006770901E-2"/>
    <n v="12276.125677599701"/>
    <n v="0.2123602371017298"/>
    <n v="2.4334265956967392E-2"/>
    <n v="0.12054026374020885"/>
    <n v="0.18542070630239788"/>
    <n v="0.14719235135917841"/>
    <n v="0.14813951750942819"/>
    <n v="0.1189721531533124"/>
    <n v="150692372.42103434"/>
  </r>
  <r>
    <x v="2"/>
    <s v="Maine"/>
    <n v="0.67157946454350503"/>
    <n v="0.17059375619068701"/>
    <n v="0.216860290659322"/>
    <n v="0.14312037733350999"/>
    <n v="2.67700267469436E-2"/>
    <n v="0.109791720294449"/>
    <n v="0.105882391714022"/>
    <n v="0.149100094350748"/>
    <n v="187.718759396998"/>
    <n v="0.25098667997377477"/>
    <n v="0.20676952709791388"/>
    <n v="0.27926900685482114"/>
    <n v="0.41577921107151761"/>
    <n v="0.31560546958844271"/>
    <n v="0.32001317820784542"/>
    <n v="0.27298469227702005"/>
    <n v="34986.647520684011"/>
  </r>
  <r>
    <x v="2"/>
    <s v="Maryland"/>
    <n v="0.41955820866298099"/>
    <n v="-0.118510325134755"/>
    <n v="0.17459309490576599"/>
    <n v="9.0473325897347495E-2"/>
    <n v="1.0638790734669E-2"/>
    <n v="4.8177376789215499E-2"/>
    <n v="4.9726009351931298E-2"/>
    <n v="8.7665663859988502E-2"/>
    <n v="1283.5034710923301"/>
    <n v="0.28951774706324535"/>
    <n v="6.0007906958085284E-2"/>
    <n v="0.10829686006487076"/>
    <n v="0.16721509035882948"/>
    <n v="0.13792372228325006"/>
    <n v="0.13677585564724801"/>
    <n v="0.11015266129580636"/>
    <n v="1646304.3275008621"/>
  </r>
  <r>
    <x v="2"/>
    <s v="Massachusetts"/>
    <n v="0.50730434754505704"/>
    <n v="-3.3581738342935902E-2"/>
    <n v="0.15137324408471201"/>
    <n v="9.6286299643687998E-2"/>
    <n v="1.2292105013063199E-2"/>
    <n v="6.6645392951113006E-2"/>
    <n v="6.4131727051065596E-2"/>
    <n v="9.9939565781992701E-2"/>
    <n v="851.06846914032496"/>
    <n v="0.29255775790723326"/>
    <n v="0.12668695041049888"/>
    <n v="0.1689358357006521"/>
    <n v="0.24503712025655347"/>
    <n v="0.19418031426382765"/>
    <n v="0.19640197155551134"/>
    <n v="0.16594606542086904"/>
    <n v="723454.29505365051"/>
  </r>
  <r>
    <x v="2"/>
    <s v="Michigan"/>
    <n v="0.67769598822917698"/>
    <n v="5.5820237888653798E-2"/>
    <n v="0.19741401140532899"/>
    <n v="0.110652471983333"/>
    <n v="1.6676782179182201E-2"/>
    <n v="7.68267261174541E-2"/>
    <n v="7.4074175224151204E-2"/>
    <n v="0.115137647676927"/>
    <n v="2877.58315638671"/>
    <n v="0.38672944886158878"/>
    <n v="0.23067077726182325"/>
    <n v="0.32153834931645081"/>
    <n v="0.4369463907669654"/>
    <n v="0.36104387015068634"/>
    <n v="0.36435929313547438"/>
    <n v="0.31647188652490121"/>
    <n v="8276585.028070596"/>
  </r>
  <r>
    <x v="2"/>
    <s v="Minnesota"/>
    <n v="0.57217330198650096"/>
    <n v="-3.77734285257771E-2"/>
    <n v="0.19654228239211999"/>
    <n v="0.131101281398736"/>
    <n v="2.2951726722993102E-2"/>
    <n v="8.2612736323871699E-2"/>
    <n v="8.2200298418102793E-2"/>
    <n v="0.13251992349855499"/>
    <n v="944.40605712998695"/>
    <n v="0.37203501406261763"/>
    <n v="0.14109866288151421"/>
    <n v="0.19454452734537375"/>
    <n v="0.30164433873492907"/>
    <n v="0.23966954745191357"/>
    <n v="0.24007354422583754"/>
    <n v="0.19329509321586505"/>
    <n v="890822.40026184754"/>
  </r>
  <r>
    <x v="2"/>
    <s v="Mississippi"/>
    <n v="0.52998472117647"/>
    <n v="0.109775536338028"/>
    <n v="0.26045693505651002"/>
    <n v="0.13192306657473199"/>
    <n v="2.4834012767649499E-2"/>
    <n v="7.8001405693663803E-2"/>
    <n v="7.8819716691691799E-2"/>
    <n v="0.12983112561264201"/>
    <n v="579764.24770085199"/>
    <n v="0.1765757590225879"/>
    <n v="7.2645227490726896E-2"/>
    <n v="0.1584530808642734"/>
    <n v="0.25517723820593319"/>
    <n v="0.20428891747482991"/>
    <n v="0.20354986127174993"/>
    <n v="0.16012290004265964"/>
    <n v="336125968380.02936"/>
  </r>
  <r>
    <x v="2"/>
    <s v="Missouri"/>
    <n v="0.55969900539481299"/>
    <n v="7.1419063105887803E-2"/>
    <n v="0.28935642764162101"/>
    <n v="0.16993269652311899"/>
    <n v="3.5126829561968602E-2"/>
    <n v="0.116468967839777"/>
    <n v="0.116055169264402"/>
    <n v="0.170243482509983"/>
    <n v="159.002936987726"/>
    <n v="0.2384173020416761"/>
    <n v="7.3085109346240656E-2"/>
    <n v="0.15191777553146477"/>
    <n v="0.27517596765800467"/>
    <n v="0.19645286619103861"/>
    <n v="0.19681985333650695"/>
    <n v="0.15167560430549634"/>
    <n v="25104.25966232564"/>
  </r>
  <r>
    <x v="2"/>
    <s v="Montana"/>
    <n v="0.75799793606213595"/>
    <n v="0.27162882717224002"/>
    <n v="0.30246952520636899"/>
    <n v="0.19447484121386999"/>
    <n v="5.0429408022154003E-2"/>
    <n v="0.14540231044006999"/>
    <n v="0.14182495651643001"/>
    <n v="0.20139157713464201"/>
    <n v="7146.7647394142796"/>
    <n v="0.23655491008235144"/>
    <n v="0.20750613309678043"/>
    <n v="0.31755827842736767"/>
    <n v="0.5006532218726667"/>
    <n v="0.37527340053129038"/>
    <n v="0.37966914072223296"/>
    <n v="0.30981063879852216"/>
    <n v="51065412.349252127"/>
  </r>
  <r>
    <x v="2"/>
    <s v="Nebraska"/>
    <n v="0.51864801862730803"/>
    <n v="-5.7342657212522803E-2"/>
    <n v="0.204984757243172"/>
    <n v="0.119401922563018"/>
    <n v="1.77706913861462E-2"/>
    <n v="7.6549415248831507E-2"/>
    <n v="7.6288261460580806E-2"/>
    <n v="0.120352362550327"/>
    <n v="769.22463238331397"/>
    <n v="0.33176525865442513"/>
    <n v="9.8384641542132834E-2"/>
    <n v="0.15939744522257629"/>
    <n v="0.25087809694424995"/>
    <n v="0.19545117510919949"/>
    <n v="0.19568215476060585"/>
    <n v="0.15863942964979275"/>
    <n v="590908.89039808186"/>
  </r>
  <r>
    <x v="2"/>
    <s v="Nevada"/>
    <n v="0.53925745590330598"/>
    <n v="-0.135671268987197"/>
    <n v="0.174013191549868"/>
    <n v="7.1867302448524101E-2"/>
    <n v="7.2691542813033E-3"/>
    <n v="4.0364692139050203E-2"/>
    <n v="3.9946658086117998E-2"/>
    <n v="7.2737833108335204E-2"/>
    <n v="6026.9989753637501"/>
    <n v="0.45552878368232019"/>
    <n v="0.13340337264308408"/>
    <n v="0.21845355554648452"/>
    <n v="0.28301155306266296"/>
    <n v="0.24889398973633753"/>
    <n v="0.24931127281683679"/>
    <n v="0.21764055845276181"/>
    <n v="36318216.731565922"/>
  </r>
  <r>
    <x v="2"/>
    <s v="New Hampshire"/>
    <n v="0.63020833366145801"/>
    <n v="0.12832383746569301"/>
    <n v="0.19346864226015401"/>
    <n v="0.10042488984799799"/>
    <n v="1.43678024698311E-2"/>
    <n v="7.5995331038734695E-2"/>
    <n v="7.1927166277477694E-2"/>
    <n v="0.10607727825384"/>
    <n v="1206.6995469240801"/>
    <n v="0.25188804752167687"/>
    <n v="0.19074155804530624"/>
    <n v="0.28067049733884952"/>
    <n v="0.37925955985838528"/>
    <n v="0.30715205227609471"/>
    <n v="0.3116778618556198"/>
    <n v="0.27471336324270346"/>
    <n v="1454603.2494879302"/>
  </r>
  <r>
    <x v="2"/>
    <s v="New Jersey"/>
    <n v="0.54532650650681802"/>
    <n v="-6.0117650617130099E-2"/>
    <n v="0.15044578980783699"/>
    <n v="9.7187648887867004E-2"/>
    <n v="1.29498215408312E-2"/>
    <n v="6.9621303122450101E-2"/>
    <n v="6.6606207190361297E-2"/>
    <n v="0.10164117111749101"/>
    <n v="497.42889503962198"/>
    <n v="0.36656262739552803"/>
    <n v="0.15593078042070094"/>
    <n v="0.20082843570801845"/>
    <n v="0.28342493469537355"/>
    <n v="0.22629544052696288"/>
    <n v="0.22917312497763789"/>
    <n v="0.19685667683953961"/>
    <n v="246893.28067820298"/>
  </r>
  <r>
    <x v="2"/>
    <s v="New Mexico"/>
    <n v="0.40639730633288401"/>
    <n v="-0.11411736412508"/>
    <n v="0.23580750699557301"/>
    <n v="8.4598154192106395E-2"/>
    <n v="1.0550756939214199E-2"/>
    <n v="4.01446598382088E-2"/>
    <n v="4.2352001149102397E-2"/>
    <n v="7.8783086398106994E-2"/>
    <n v="168304.09428308901"/>
    <n v="0.27093552216196282"/>
    <n v="2.9100879637944031E-2"/>
    <n v="0.10355469431852332"/>
    <n v="0.15669449066687507"/>
    <n v="0.13414100106435353"/>
    <n v="0.1325289842263527"/>
    <n v="0.10733107710347245"/>
    <n v="28326131355.954952"/>
  </r>
  <r>
    <x v="2"/>
    <s v="New York"/>
    <n v="0.53162665535787701"/>
    <n v="-5.9801282493642097E-2"/>
    <n v="0.14940769435623699"/>
    <n v="8.4595161714620296E-2"/>
    <n v="1.0024784760692899E-2"/>
    <n v="5.8913427931350001E-2"/>
    <n v="5.6010156040114598E-2"/>
    <n v="8.9216698354156798E-2"/>
    <n v="2622.23858557311"/>
    <n v="0.34978700567130039"/>
    <n v="0.14609133414917319"/>
    <n v="0.19983715630892107"/>
    <n v="0.27206851141048161"/>
    <n v="0.22345779538400343"/>
    <n v="0.22621105442328307"/>
    <n v="0.19572657005603356"/>
    <n v="6873347.3784377687"/>
  </r>
  <r>
    <x v="2"/>
    <s v="North Carolina"/>
    <n v="0.47115986311688302"/>
    <n v="1.0423293016590001E-4"/>
    <n v="0.23797185104839699"/>
    <n v="0.122452974567266"/>
    <n v="2.0348102201162399E-2"/>
    <n v="6.6513635449323094E-2"/>
    <n v="6.8951687579518403E-2"/>
    <n v="0.116559516571694"/>
    <n v="16693.089266496099"/>
    <n v="0.22189340673060517"/>
    <n v="5.4376648972452382E-2"/>
    <n v="0.12159649412195501"/>
    <n v="0.20323124377993285"/>
    <n v="0.16373856956558674"/>
    <n v="0.16177141646909549"/>
    <n v="0.12574140576996815"/>
    <n v="278643499.25389123"/>
  </r>
  <r>
    <x v="2"/>
    <s v="North Dakota"/>
    <n v="0.95833333333333304"/>
    <n v="4.2592592576970699E-2"/>
    <n v="0.31038995385782697"/>
    <n v="0.13308641966206999"/>
    <n v="2.4533682906524201E-2"/>
    <n v="6.9878691209434199E-2"/>
    <n v="7.3028557846704797E-2"/>
    <n v="0.123821997090307"/>
    <n v="28292437.134945199"/>
    <n v="0.83858110428101129"/>
    <n v="0.41983062300613966"/>
    <n v="0.68103246852394506"/>
    <n v="0.87198178713723029"/>
    <n v="0.78935165111150507"/>
    <n v="0.7837645454994292"/>
    <n v="0.696409170318121"/>
    <n v="800461944807655.88"/>
  </r>
  <r>
    <x v="2"/>
    <s v="Ohio"/>
    <n v="0.62013130917720305"/>
    <n v="-2.7375640315818002E-3"/>
    <n v="0.25499866177791197"/>
    <n v="9.0908890331828904E-2"/>
    <n v="1.16258987074039E-2"/>
    <n v="0.36787892199348499"/>
    <n v="6.6077130795039393E-2"/>
    <n v="9.4943376749666394E-2"/>
    <n v="473.74809532299099"/>
    <n v="0.38796563321238126"/>
    <n v="0.13332185019681503"/>
    <n v="0.28007636860854862"/>
    <n v="0.37027883457101868"/>
    <n v="6.3631266839884404E-2"/>
    <n v="0.30697603258273443"/>
    <n v="0.27582236436751084"/>
    <n v="223850.07033185667"/>
  </r>
  <r>
    <x v="2"/>
    <s v="Oklahoma"/>
    <n v="0.62047202334571006"/>
    <n v="0.19004816806442201"/>
    <n v="0.340595861782445"/>
    <n v="0.197991837060463"/>
    <n v="4.8907634354505701E-2"/>
    <n v="0.137825458130132"/>
    <n v="0.13759395541959299"/>
    <n v="0.19812204403893899"/>
    <n v="1726.97939711758"/>
    <n v="0.18526469519520716"/>
    <n v="7.833066581138684E-2"/>
    <n v="0.17848950780361708"/>
    <n v="0.32668585076288875"/>
    <n v="0.2329477069143952"/>
    <n v="0.23317122848405974"/>
    <n v="0.17837950502042998"/>
    <n v="2980315.13825252"/>
  </r>
  <r>
    <x v="2"/>
    <s v="Oregon"/>
    <n v="0.55105916374309205"/>
    <n v="-9.5791406668500993E-3"/>
    <n v="0.23143130818084201"/>
    <n v="0.186616949538086"/>
    <n v="4.2085383987579099E-2"/>
    <n v="0.126723418486547"/>
    <n v="0.12677891522930301"/>
    <n v="0.18775723975352401"/>
    <n v="90.018242310159195"/>
    <n v="0.31431530837165494"/>
    <n v="0.10216196605132258"/>
    <n v="0.13281812749464753"/>
    <n v="0.25905430847861338"/>
    <n v="0.18006082470242749"/>
    <n v="0.18001372927892259"/>
    <n v="0.13198828797452189"/>
    <n v="8004.3768601543616"/>
  </r>
  <r>
    <x v="2"/>
    <s v="Pennsylvania"/>
    <n v="0.58355413588320904"/>
    <n v="4.7840720361041797E-2"/>
    <n v="0.202259715590037"/>
    <n v="0.102233770580414"/>
    <n v="1.4667114825952701E-2"/>
    <n v="7.2368804086779703E-2"/>
    <n v="6.9281560926653704E-2"/>
    <n v="0.106489517178847"/>
    <n v="1329.54393920803"/>
    <n v="0.28698886357042619"/>
    <n v="0.14538543494670614"/>
    <n v="0.23166929405521605"/>
    <n v="0.32363244272739916"/>
    <n v="0.26131044344382554"/>
    <n v="0.26447628135244583"/>
    <n v="0.2275906504195383"/>
    <n v="1766135.705091109"/>
  </r>
  <r>
    <x v="2"/>
    <s v="Rhode Island"/>
    <n v="0.60832025132156398"/>
    <n v="3.9085457230755898E-2"/>
    <n v="0.17920310391095901"/>
    <n v="8.5058123040792896E-2"/>
    <n v="1.03793433518354E-2"/>
    <n v="5.68713351381352E-2"/>
    <n v="5.4526466103770502E-2"/>
    <n v="8.8825707732003795E-2"/>
    <n v="13177.5863877762"/>
    <n v="0.3240282508036047"/>
    <n v="0.18414152620181487"/>
    <n v="0.27380325489292218"/>
    <n v="0.35753332942366339"/>
    <n v="0.30409590715987822"/>
    <n v="0.3066875565458515"/>
    <n v="0.26987458081932542"/>
    <n v="173632750.99203169"/>
  </r>
  <r>
    <x v="2"/>
    <s v="South Carolina"/>
    <n v="0.54284479768257199"/>
    <n v="5.7092081206854203E-2"/>
    <n v="0.27470203792729297"/>
    <n v="0.143040850227109"/>
    <n v="2.7842550245852801E-2"/>
    <n v="7.5006301094227998E-2"/>
    <n v="7.9293964043223794E-2"/>
    <n v="0.130720798761849"/>
    <n v="363897.85370525799"/>
    <n v="0.23595570156353907"/>
    <n v="7.1900539609177277E-2"/>
    <n v="0.15984319640097061"/>
    <n v="0.26522731486487172"/>
    <n v="0.21887285889004193"/>
    <n v="0.21487937536773466"/>
    <n v="0.16984619048640809"/>
    <n v="132421252851.4745"/>
  </r>
  <r>
    <x v="2"/>
    <s v="South Dakota"/>
    <n v="0.66706730774594303"/>
    <n v="0.144247234161895"/>
    <n v="0.27691601793670001"/>
    <n v="0.194146645679525"/>
    <n v="4.46447717215194E-2"/>
    <n v="0.14732988021705901"/>
    <n v="0.145010912675898"/>
    <n v="0.197597480014372"/>
    <n v="79.933229117281201"/>
    <n v="0.27334082934242937"/>
    <n v="0.15221802893981592"/>
    <n v="0.22365395260933915"/>
    <n v="0.38740981335107494"/>
    <n v="0.27012699357434189"/>
    <n v="0.27254287963353085"/>
    <n v="0.22040191915031099"/>
    <n v="6283.1244080154265"/>
  </r>
  <r>
    <x v="2"/>
    <s v="Tennessee"/>
    <n v="0.50650845424137902"/>
    <n v="1.51528478599618E-2"/>
    <n v="0.26959039837347998"/>
    <n v="0.11453441523296901"/>
    <n v="1.8134551764972199E-2"/>
    <n v="5.4106140232854698E-2"/>
    <n v="5.8159797144605299E-2"/>
    <n v="0.102689495197324"/>
    <n v="16271018.5049213"/>
    <n v="0.24143033192245023"/>
    <n v="5.6130165196224935E-2"/>
    <n v="0.15364364725656651"/>
    <n v="0.23850906862003493"/>
    <n v="0.20466785372026744"/>
    <n v="0.2010165183204804"/>
    <n v="0.16306975168342419"/>
    <n v="264746026704674.78"/>
  </r>
  <r>
    <x v="2"/>
    <s v="Texas"/>
    <n v="0.49779895415993702"/>
    <n v="4.6023388725037598E-2"/>
    <n v="0.27132855530557898"/>
    <n v="0.13912262511378401"/>
    <n v="2.6039311630990301E-2"/>
    <n v="8.2005202922749307E-2"/>
    <n v="8.3612892854877593E-2"/>
    <n v="0.135446781855946"/>
    <n v="6552.7519316239996"/>
    <n v="0.20410116152402311"/>
    <n v="5.1288841557252017E-2"/>
    <n v="0.12864870901802422"/>
    <n v="0.22255716031903958"/>
    <n v="0.17288444356789234"/>
    <n v="0.17155009337939844"/>
    <n v="0.13129909677342119"/>
    <n v="42932034.219088987"/>
  </r>
  <r>
    <x v="2"/>
    <s v="Utah"/>
    <n v="0.45906908213866898"/>
    <n v="2.4512501249066999E-2"/>
    <n v="0.24306484746767501"/>
    <n v="7.5340459230755205E-2"/>
    <n v="9.5963131814163997E-3"/>
    <n v="3.64949324364095E-2"/>
    <n v="3.7177630189129098E-2"/>
    <n v="7.2088755259070006E-2"/>
    <n v="345667630.076545"/>
    <n v="0.18883942199446119"/>
    <n v="4.6657829395801834E-2"/>
    <n v="0.14724765603880388"/>
    <n v="0.20202577003409974"/>
    <n v="0.17856891199658761"/>
    <n v="0.1779923972280909"/>
    <n v="0.14975377339184129"/>
    <n v="1.1948611016536453E+17"/>
  </r>
  <r>
    <x v="2"/>
    <s v="Vermont"/>
    <n v="0.57911392447151799"/>
    <n v="0.22368210299439101"/>
    <n v="0.2031745191381"/>
    <n v="9.5595221706815406E-2"/>
    <n v="1.49871320042693E-2"/>
    <n v="0.367878891723946"/>
    <n v="8.3990496305479501E-2"/>
    <n v="0.102675607837472"/>
    <n v="1165.0333435817299"/>
    <n v="0.12633177971854828"/>
    <n v="0.14133043648244392"/>
    <n v="0.23379033592326082"/>
    <n v="0.3182390379793863"/>
    <n v="4.4620239059867811E-2"/>
    <n v="0.24514720911889029"/>
    <n v="0.22699346955708349"/>
    <n v="1355953.6529666788"/>
  </r>
  <r>
    <x v="2"/>
    <s v="Virginia"/>
    <n v="0.39251671130271198"/>
    <n v="-0.154278052350134"/>
    <n v="0.18119049133442899"/>
    <n v="8.8459893515035998E-2"/>
    <n v="9.8534669956718002E-3"/>
    <n v="4.3974796305413698E-2"/>
    <n v="4.6196144483355503E-2"/>
    <n v="8.42407229836378E-2"/>
    <n v="3343.0042334979198"/>
    <n v="0.29898451355817168"/>
    <n v="4.4658771246083126E-2"/>
    <n v="9.245054844316801E-2"/>
    <n v="0.14643115854358951"/>
    <n v="0.12148146650998391"/>
    <n v="0.11993793500208035"/>
    <n v="9.5034084974101984E-2"/>
    <n v="11173053.089199178"/>
  </r>
  <r>
    <x v="2"/>
    <s v="Washington"/>
    <n v="0.56103725643135305"/>
    <n v="-7.7016213271795999E-3"/>
    <n v="0.20764815285143101"/>
    <n v="0.15128359270216099"/>
    <n v="2.96649089956415E-2"/>
    <n v="0.10262274791466799"/>
    <n v="0.10163214905191501"/>
    <n v="0.15406909552584999"/>
    <n v="219.49020668669499"/>
    <n v="0.3234639110740351"/>
    <n v="0.12488385852902087"/>
    <n v="0.16789806493949583"/>
    <n v="0.28235657161933858"/>
    <n v="0.21014386161859394"/>
    <n v="0.21105305268631303"/>
    <n v="0.16562308399080741"/>
    <n v="47929.981227425087"/>
  </r>
  <r>
    <x v="2"/>
    <s v="West Virginia"/>
    <n v="0.57539682556444904"/>
    <n v="-2.9140013796044199E-2"/>
    <n v="0.279559692443695"/>
    <n v="0.105752648882283"/>
    <n v="1.4478677636896E-2"/>
    <n v="6.4320375652623593E-2"/>
    <n v="6.4150912725898193E-2"/>
    <n v="0.105794250478524"/>
    <n v="1582.1855932195899"/>
    <n v="0.36546479014397487"/>
    <n v="8.7519609333106749E-2"/>
    <n v="0.22056565269146963"/>
    <n v="0.31462916867447627"/>
    <n v="0.26119913765447461"/>
    <n v="0.26137238339412311"/>
    <n v="0.2205265785273319"/>
    <n v="2501490.8133375477"/>
  </r>
  <r>
    <x v="2"/>
    <s v="Wisconsin"/>
    <n v="0.56268762423868801"/>
    <n v="-0.111717090477001"/>
    <n v="0.19639653791584899"/>
    <n v="6.7693387511417999E-2"/>
    <n v="6.9971828272501002E-3"/>
    <n v="4.2850493195131401E-2"/>
    <n v="4.0788832723351702E-2"/>
    <n v="7.12256061248428E-2"/>
    <n v="7699.1636036221698"/>
    <n v="0.45482171923074982"/>
    <n v="0.13416915991956552"/>
    <n v="0.2450192943932126"/>
    <n v="0.30879186667603864"/>
    <n v="0.27023064281159581"/>
    <n v="0.27237834858516852"/>
    <n v="0.24153491524853352"/>
    <n v="59268456.063804187"/>
  </r>
  <r>
    <x v="2"/>
    <s v="Wyoming"/>
    <n v="0.75412087905391401"/>
    <n v="0.22742474899832699"/>
    <n v="0.31335886422079101"/>
    <n v="0.157682518094554"/>
    <n v="3.2164459258376001E-2"/>
    <n v="0.36787939206394599"/>
    <n v="0.132975648651732"/>
    <n v="0.16178401518066299"/>
    <n v="156.02431251769801"/>
    <n v="0.27740881341553186"/>
    <n v="0.19427115371975415"/>
    <n v="0.35573871842388777"/>
    <n v="0.52122107208399115"/>
    <n v="0.14918248627222164"/>
    <n v="0.38582139725137982"/>
    <n v="0.3508629603031983"/>
    <n v="24108.832411501262"/>
  </r>
  <r>
    <x v="3"/>
    <s v="Alabama"/>
    <n v="0.59543091492272904"/>
    <n v="0.382364948156105"/>
    <n v="0.63040851656499297"/>
    <n v="0.60089449367540304"/>
    <n v="0.38544702811464698"/>
    <n v="0.46964724181230899"/>
    <n v="0.48330549107409099"/>
    <n v="0.53204748126217205"/>
    <n v="0.77593831453502804"/>
    <n v="4.5397106194196138E-2"/>
    <n v="1.2234326166449046E-3"/>
    <n v="2.9850692786670815E-5"/>
    <n v="4.4093232719029415E-2"/>
    <n v="1.5821532421149007E-2"/>
    <n v="1.2572110673236731E-2"/>
    <n v="4.0174596626022284E-3"/>
    <n v="3.2582921314794205E-2"/>
  </r>
  <r>
    <x v="3"/>
    <s v="Alaska"/>
    <n v="0.43388429751740998"/>
    <n v="0.25390266298404102"/>
    <n v="0.61378311677509301"/>
    <n v="0.47825462217732101"/>
    <n v="0.38459431982215297"/>
    <n v="0.30565230320093201"/>
    <n v="0.34340882523557298"/>
    <n v="0.28679216872263102"/>
    <n v="0.45739316576754002"/>
    <n v="3.2393388769303193E-2"/>
    <n v="3.2363585170308504E-2"/>
    <n v="1.9687257104259088E-3"/>
    <n v="2.4295019011989329E-3"/>
    <n v="1.6443444366381239E-2"/>
    <n v="8.1858110846214551E-3"/>
    <n v="2.1636094353379841E-2"/>
    <n v="5.5266688640197238E-4"/>
  </r>
  <r>
    <x v="3"/>
    <s v="Arizona"/>
    <n v="0.71441602123637504"/>
    <n v="0.48016246407146901"/>
    <n v="0.70281591577596803"/>
    <n v="0.66442999697721505"/>
    <n v="0.47386093591948503"/>
    <n v="0.51361648612243405"/>
    <n v="0.52878437666731104"/>
    <n v="0.54836481118881697"/>
    <n v="1.5694365210797401"/>
    <n v="5.4874729044411902E-2"/>
    <n v="1.3456244669256471E-4"/>
    <n v="2.498602621237331E-3"/>
    <n v="5.7866749071816236E-2"/>
    <n v="4.0320453301974826E-2"/>
    <n v="3.4459107465415306E-2"/>
    <n v="2.7573004358258251E-2"/>
    <n v="0.7310600551523978"/>
  </r>
  <r>
    <x v="3"/>
    <s v="Arkansas"/>
    <n v="0.59213961798489301"/>
    <n v="0.47657983080091898"/>
    <n v="0.831197218037665"/>
    <n v="0.63910613830386298"/>
    <n v="0.43916229224279801"/>
    <n v="0.51850289500785796"/>
    <n v="0.529953794637121"/>
    <n v="0.57573638978695096"/>
    <n v="0.835316222058758"/>
    <n v="1.3354064414005369E-2"/>
    <n v="5.7148536142991091E-2"/>
    <n v="2.2058540308722194E-3"/>
    <n v="2.3402062191203041E-2"/>
    <n v="5.4223669707966016E-3"/>
    <n v="3.867076625440306E-3"/>
    <n v="2.6906589531376098E-4"/>
    <n v="5.913486076889729E-2"/>
  </r>
  <r>
    <x v="3"/>
    <s v="California"/>
    <n v="0.73992027241707303"/>
    <n v="0.68857169901464299"/>
    <n v="0.89659734458087004"/>
    <n v="0.86658754658660597"/>
    <n v="0.72175373017922995"/>
    <n v="0.71929306690313699"/>
    <n v="0.49999950550984401"/>
    <n v="0.70750560601460899"/>
    <n v="0.72179675998966697"/>
    <n v="2.636675990464746E-3"/>
    <n v="2.4547704941819654E-2"/>
    <n v="1.6044598345539628E-2"/>
    <n v="3.300232568793369E-4"/>
    <n v="4.2548160731415346E-4"/>
    <n v="5.7561974393352922E-2"/>
    <n v="1.0507105979830312E-3"/>
    <n v="3.2846170270634201E-4"/>
  </r>
  <r>
    <x v="3"/>
    <s v="Colorado"/>
    <n v="0.60626399686210197"/>
    <n v="0.48588869723925698"/>
    <n v="0.770879920880157"/>
    <n v="0.68807615809831901"/>
    <n v="0.49250885827364199"/>
    <n v="0.57447449142394902"/>
    <n v="0.58515262572918803"/>
    <n v="0.61538139519917501"/>
    <n v="0.59254184359836004"/>
    <n v="1.4490212759289705E-2"/>
    <n v="2.7098402440318067E-2"/>
    <n v="6.6932297261407744E-3"/>
    <n v="1.2940231555279737E-2"/>
    <n v="1.0105726560023563E-3"/>
    <n v="4.4568999111163231E-4"/>
    <n v="8.3126952436862143E-5"/>
    <n v="1.8829749019362335E-4"/>
  </r>
  <r>
    <x v="3"/>
    <s v="Connecticut"/>
    <n v="0.56672742499761997"/>
    <n v="0.41605145925742198"/>
    <n v="0.57533373079439398"/>
    <n v="0.58763250165664205"/>
    <n v="0.42221358907307099"/>
    <n v="0.43466904015681201"/>
    <n v="0.45756780978157902"/>
    <n v="0.444877992808766"/>
    <s v="inf"/>
    <n v="2.2703246651741317E-2"/>
    <n v="7.4068499467586034E-5"/>
    <n v="4.3702223011958985E-4"/>
    <n v="2.0884248773627462E-2"/>
    <n v="1.7439417006762936E-2"/>
    <n v="1.1915821594114119E-2"/>
    <n v="1.4847284124746122E-2"/>
    <e v="#VALUE!"/>
  </r>
  <r>
    <x v="3"/>
    <s v="Delaware"/>
    <n v="0.5"/>
    <n v="0.411002404077491"/>
    <n v="0.40816574055391902"/>
    <n v="0.40130861095368497"/>
    <n v="0.30544545121490302"/>
    <n v="0.253015613856653"/>
    <n v="0.28984494422936802"/>
    <n v="0.24071980467837101"/>
    <s v="inf"/>
    <n v="7.9205720799861903E-3"/>
    <n v="8.4335312080101137E-3"/>
    <n v="9.739990271891109E-3"/>
    <n v="3.7851472452972684E-2"/>
    <n v="6.1001286998605936E-2"/>
    <n v="4.4165147465957441E-2"/>
    <n v="6.7226219686022076E-2"/>
    <e v="#VALUE!"/>
  </r>
  <r>
    <x v="3"/>
    <s v="District of Columbia"/>
    <n v="0.87662337659090905"/>
    <n v="0.85396592653103598"/>
    <n v="0.93049422871815701"/>
    <n v="0.94697473147391398"/>
    <n v="0.86797798082844502"/>
    <n v="0.83871128655725602"/>
    <n v="0.499999891071231"/>
    <n v="0.80834064101576397"/>
    <n v="0.86816906184227405"/>
    <n v="5.1336004321564236E-4"/>
    <n v="2.9020687089158161E-3"/>
    <n v="4.9493131338745004E-3"/>
    <n v="7.4742867889631117E-5"/>
    <n v="1.4373265707198137E-3"/>
    <n v="0.14184524984499114"/>
    <n v="4.6625319776251841E-3"/>
    <n v="7.1475437868987382E-5"/>
  </r>
  <r>
    <x v="3"/>
    <s v="Florida"/>
    <n v="0.70035395193948802"/>
    <n v="0.50585431587473595"/>
    <n v="0.723265684818583"/>
    <n v="0.721820522195187"/>
    <n v="0.53966824432135496"/>
    <n v="0.550128730284562"/>
    <n v="0.56531200989560904"/>
    <n v="0.56969947977743995"/>
    <n v="0.71259608574910505"/>
    <n v="3.7830108429321004E-2"/>
    <n v="5.2494750352300205E-4"/>
    <n v="4.6081363854286016E-4"/>
    <n v="2.5819896632740143E-2"/>
    <n v="2.2567617221271655E-2"/>
    <n v="1.823632611098237E-2"/>
    <n v="1.7070591095943392E-2"/>
    <n v="1.4986984021256834E-4"/>
  </r>
  <r>
    <x v="3"/>
    <s v="Georgia"/>
    <n v="0.58094463110470096"/>
    <n v="0.47611487807457997"/>
    <n v="0.73601167951221103"/>
    <n v="0.66676881192653803"/>
    <n v="0.46383502371356"/>
    <n v="0.54608342431436196"/>
    <n v="0.55623363455279096"/>
    <n v="0.607059750812601"/>
    <n v="0.72696682134913304"/>
    <n v="1.0989277120356159E-2"/>
    <n v="2.4045789501817069E-2"/>
    <n v="7.365790013739386E-3"/>
    <n v="1.3714660143307177E-2"/>
    <n v="1.2153037388787776E-3"/>
    <n v="6.1063335058850806E-4"/>
    <n v="6.8199947735794893E-4"/>
    <n v="2.1322480043781115E-2"/>
  </r>
  <r>
    <x v="3"/>
    <s v="Hawaii"/>
    <n v="0.82356841468354403"/>
    <n v="0.78685719009845201"/>
    <n v="0.92923540297514295"/>
    <n v="0.90964505465968304"/>
    <n v="0.79636461178450002"/>
    <n v="0.80748492990624099"/>
    <n v="0.49999958326987498"/>
    <n v="0.810369906561345"/>
    <n v="0.80810627224044695"/>
    <n v="1.3477140105370646E-3"/>
    <n v="1.1165512414616906E-2"/>
    <n v="7.4091879495818526E-3"/>
    <n v="7.4004689217003496E-4"/>
    <n v="2.5867848258173849E-4"/>
    <n v="0.10469678866240738"/>
    <n v="1.7420061665175367E-4"/>
    <n v="2.3907784893062385E-4"/>
  </r>
  <r>
    <x v="3"/>
    <s v="Idaho"/>
    <n v="0.55227299424046605"/>
    <n v="0.26976320757359401"/>
    <n v="0.42530330344963901"/>
    <n v="0.45697839286332997"/>
    <n v="0.30339876276844102"/>
    <n v="0.29539896020082901"/>
    <n v="0.32734667413281598"/>
    <n v="0.30831059327293298"/>
    <n v="9.1160781390919602E+136"/>
    <n v="7.9811779562561552E-2"/>
    <n v="1.612130237951823E-2"/>
    <n v="9.0810610516272646E-3"/>
    <n v="6.1938383090791096E-2"/>
    <n v="6.5984269363796616E-2"/>
    <n v="5.0591849477169069E-2"/>
    <n v="5.9517653085843385E-2"/>
    <n v="8.3102880638030337E+273"/>
  </r>
  <r>
    <x v="3"/>
    <s v="Illinois"/>
    <n v="0.59670213715940601"/>
    <n v="0.52233911789536203"/>
    <n v="0.72156645520996199"/>
    <n v="0.77772783156968495"/>
    <n v="0.60814343081268696"/>
    <n v="0.56569259326121202"/>
    <n v="0.58637214310966501"/>
    <n v="0.51038339037021896"/>
    <n v="0.60908494745203201"/>
    <n v="5.5298586340645764E-3"/>
    <n v="1.55910979222304E-2"/>
    <n v="3.2770302036723695E-2"/>
    <n v="1.3090320046060691E-4"/>
    <n v="9.6159181277402021E-4"/>
    <n v="1.0670877706768443E-4"/>
    <n v="7.4509260472557896E-3"/>
    <n v="1.5333399074316442E-4"/>
  </r>
  <r>
    <x v="3"/>
    <s v="Indiana"/>
    <n v="0.49911997485583698"/>
    <n v="0.380167322018648"/>
    <n v="0.68220669986065896"/>
    <n v="0.64462536706106099"/>
    <n v="0.48612024150263"/>
    <n v="0.37790442380411599"/>
    <n v="0.41592288864975102"/>
    <n v="0.313213543077967"/>
    <n v="0.48614930464274803"/>
    <n v="1.4149733617004803E-2"/>
    <n v="3.3520748872991307E-2"/>
    <n v="2.1171819160796065E-2"/>
    <n v="1.6899306725448192E-4"/>
    <n v="1.4693209816772378E-2"/>
    <n v="6.9217551531828986E-3"/>
    <n v="3.4561201376379823E-2"/>
    <n v="1.6823828577671303E-4"/>
  </r>
  <r>
    <x v="3"/>
    <s v="Iowa"/>
    <n v="0.59613288573383205"/>
    <n v="0.37917251603146601"/>
    <n v="0.553672955186163"/>
    <n v="0.56036021304457695"/>
    <n v="0.388564045881784"/>
    <n v="0.42076598671397902"/>
    <n v="0.44267649761954297"/>
    <n v="0.44610526052466298"/>
    <n v="193.620999503604"/>
    <n v="4.7071802021387353E-2"/>
    <n v="1.8028457021128797E-3"/>
    <n v="1.2796841113325778E-3"/>
    <n v="4.3084823277525171E-2"/>
    <n v="3.075354927183933E-2"/>
    <n v="2.3548863053083322E-2"/>
    <n v="2.2508288325902903E-2"/>
    <n v="37258.599132846568"/>
  </r>
  <r>
    <x v="3"/>
    <s v="Kansas"/>
    <n v="0.58098355152359904"/>
    <n v="0.32088108824633199"/>
    <n v="0.522805561708932"/>
    <n v="0.52018669738305001"/>
    <n v="0.36338825265993502"/>
    <n v="0.365579214369191"/>
    <n v="0.39338508943764"/>
    <n v="0.38115776147998398"/>
    <n v="5664.5339815604702"/>
    <n v="6.7653291402902049E-2"/>
    <n v="3.384678498875502E-3"/>
    <n v="3.6962574733871937E-3"/>
    <n v="4.7347714087567265E-2"/>
    <n v="4.6399028464929895E-2"/>
    <n v="3.5193182977017012E-2"/>
    <n v="3.9930346366554931E-2"/>
    <n v="32080363.563654531"/>
  </r>
  <r>
    <x v="3"/>
    <s v="Kentucky"/>
    <n v="0.64827217527907699"/>
    <n v="0.486394550934101"/>
    <n v="0.64092197269923301"/>
    <n v="0.64786157343895301"/>
    <n v="0.466015416962833"/>
    <n v="0.50004715758400298"/>
    <n v="0.51762701318030901"/>
    <n v="0.51894571744701801"/>
    <n v="4.8170924212932903E+19"/>
    <n v="2.6204365263573164E-2"/>
    <n v="5.4025477964745079E-5"/>
    <n v="1.6859387111319911E-7"/>
    <n v="3.3217525951945777E-2"/>
    <n v="2.1970655870705003E-2"/>
    <n v="1.7068158379813361E-2"/>
    <n v="1.672533269538733E-2"/>
    <n v="2.3204379395281255E+39"/>
  </r>
  <r>
    <x v="3"/>
    <s v="Louisiana"/>
    <n v="0.65723043584205398"/>
    <n v="0.52006317362673304"/>
    <n v="0.73231513648904001"/>
    <n v="0.68942066413271696"/>
    <n v="0.50139273953276497"/>
    <n v="0.55999401398761395"/>
    <n v="0.57229056943856704"/>
    <n v="0.59782315092709304"/>
    <n v="0.58613791097801804"/>
    <n v="1.881485782364661E-2"/>
    <n v="5.6377122712475032E-3"/>
    <n v="1.0362107974049993E-3"/>
    <n v="2.4285387590986189E-2"/>
    <n v="9.4549217350546246E-3"/>
    <n v="7.2147809046422097E-3"/>
    <n v="3.5292255009673461E-3"/>
    <n v="5.0541470915435689E-3"/>
  </r>
  <r>
    <x v="3"/>
    <s v="Maine"/>
    <n v="0.45788121074077998"/>
    <n v="0.26276181052206099"/>
    <n v="0.475095669400665"/>
    <n v="0.492047867472103"/>
    <n v="0.35394976485361501"/>
    <n v="0.35884043212467498"/>
    <n v="0.38923012992749101"/>
    <n v="0.350987765081342"/>
    <n v="0.35397762923667597"/>
    <n v="3.8071580341712638E-2"/>
    <n v="2.9633758695289046E-4"/>
    <n v="1.1673604321960605E-3"/>
    <n v="1.0801745444196698E-2"/>
    <n v="9.809075828884321E-3"/>
    <n v="4.7129708968327326E-3"/>
    <n v="1.1426208724947221E-2"/>
    <n v="1.0795954249379984E-2"/>
  </r>
  <r>
    <x v="3"/>
    <s v="Maryland"/>
    <n v="0.66613229558362597"/>
    <n v="0.62497436635813497"/>
    <n v="0.79755495091746498"/>
    <n v="0.81768131763562801"/>
    <n v="0.65388266597557998"/>
    <n v="0.64941349268618898"/>
    <n v="0.66098328817643803"/>
    <n v="0.63647830575485098"/>
    <n v="0.65408433183744796"/>
    <n v="1.693975138130526E-3"/>
    <n v="1.7271914334997043E-2"/>
    <n v="2.2967106084918202E-2"/>
    <n v="1.5005342553431686E-4"/>
    <n v="2.7951837032334754E-4"/>
    <n v="2.6512277279276203E-5"/>
    <n v="8.7935911276509026E-4"/>
    <n v="1.451534304292195E-4"/>
  </r>
  <r>
    <x v="3"/>
    <s v="Massachusetts"/>
    <n v="0.60470950241821897"/>
    <n v="0.59499971061711598"/>
    <n v="0.79746283854040101"/>
    <n v="0.79128370595865105"/>
    <n v="0.62256614474338701"/>
    <n v="0.62233005404072295"/>
    <n v="0.63471531042956097"/>
    <n v="0.62497463568976097"/>
    <n v="0.78514464061560696"/>
    <n v="9.4280056820766745E-5"/>
    <n v="3.7153848586230886E-2"/>
    <n v="3.4809933426746577E-2"/>
    <n v="3.1885967512898256E-4"/>
    <n v="3.1048383948132757E-4"/>
    <n v="9.0034851441351605E-4"/>
    <n v="4.1067562651335866E-4"/>
    <n v="3.2556839096310505E-2"/>
  </r>
  <r>
    <x v="3"/>
    <s v="Michigan"/>
    <n v="0.58838577012939797"/>
    <n v="0.38464209861645599"/>
    <n v="0.63294921645868596"/>
    <n v="0.67607974318215602"/>
    <n v="0.51770140191576697"/>
    <n v="0.40913675706890901"/>
    <n v="0.447474919646067"/>
    <n v="0.33251338365293298"/>
    <n v="0.51938650622795401"/>
    <n v="4.1511483681573605E-2"/>
    <n v="1.9859007487433313E-3"/>
    <n v="7.6902329097778563E-3"/>
    <n v="4.9962799097601684E-3"/>
    <n v="3.2130208683159342E-2"/>
    <n v="1.9855867783935655E-2"/>
    <n v="6.5470678161161464E-2"/>
    <n v="4.7608984189411062E-3"/>
  </r>
  <r>
    <x v="3"/>
    <s v="Minnesota"/>
    <n v="0.61521921256139001"/>
    <n v="0.53019395501477395"/>
    <n v="0.77463309348558695"/>
    <n v="0.785688505339872"/>
    <n v="0.62163782387976896"/>
    <n v="0.63230818354142004"/>
    <n v="0.64379332264297096"/>
    <n v="0.64132759800706796"/>
    <n v="0.63908130400168195"/>
    <n v="7.2292944208683894E-3"/>
    <n v="2.5412785431314044E-2"/>
    <n v="2.9059779780395815E-2"/>
    <n v="4.1198571256422402E-5"/>
    <n v="2.9203292915630882E-4"/>
    <n v="8.1647976695430611E-4"/>
    <n v="6.8164779058008823E-4"/>
    <n v="5.6939940790485405E-4"/>
  </r>
  <r>
    <x v="3"/>
    <s v="Mississippi"/>
    <n v="0.58257228684943896"/>
    <n v="0.26354050014842201"/>
    <n v="0.382249904156165"/>
    <n v="0.483198943568729"/>
    <n v="0.24886334978282401"/>
    <n v="0.341402341737502"/>
    <n v="0.35967385532576102"/>
    <n v="0.412275002373721"/>
    <n v="0.58860740259178901"/>
    <n v="0.10178128092564317"/>
    <n v="4.0129057007910508E-2"/>
    <n v="9.8750613547858232E-3"/>
    <n v="0.11136165467812999"/>
    <n v="5.8162942425294684E-2"/>
    <n v="4.9683710775715748E-2"/>
    <n v="2.9001165099803609E-2"/>
    <n v="3.6422622023561393E-5"/>
  </r>
  <r>
    <x v="3"/>
    <s v="Missouri"/>
    <n v="0.57994068685049005"/>
    <n v="0.50056442839742898"/>
    <n v="0.84863978362104098"/>
    <n v="0.68803402428537996"/>
    <n v="0.49498620211488997"/>
    <n v="0.52122823140785601"/>
    <n v="0.53630574171349499"/>
    <n v="0.55092632515319195"/>
    <n v="5.1137301320138704"/>
    <n v="6.3005904060071481E-3"/>
    <n v="7.2199204605309888E-2"/>
    <n v="1.1684169597812974E-2"/>
    <n v="7.2172644766913064E-3"/>
    <n v="3.447152424103287E-3"/>
    <n v="1.904008437108569E-3"/>
    <n v="8.4183318470163891E-4"/>
    <n v="20.555246733074874"/>
  </r>
  <r>
    <x v="3"/>
    <s v="Montana"/>
    <n v="0.48043667278070101"/>
    <n v="0.21570813175078099"/>
    <n v="0.47922260107471798"/>
    <n v="0.437856974149398"/>
    <n v="0.33191825835549998"/>
    <n v="0.28189190236567302"/>
    <n v="0.32085640406378302"/>
    <n v="0.26198234288910199"/>
    <n v="0.33315410035658599"/>
    <n v="7.0081200435830063E-2"/>
    <n v="1.4739701072685523E-6"/>
    <n v="1.8130307355325873E-3"/>
    <n v="2.2057719423375761E-2"/>
    <n v="3.9420025859156174E-2"/>
    <n v="2.5465862163763755E-2"/>
    <n v="4.7722294248387573E-2"/>
    <n v="2.1692156139864686E-2"/>
  </r>
  <r>
    <x v="3"/>
    <s v="Nebraska"/>
    <n v="0.56602953953146595"/>
    <n v="0.48200755658500899"/>
    <n v="0.53044955119018"/>
    <n v="0.61397447642351"/>
    <n v="0.40202251876211997"/>
    <n v="0.49055732581092698"/>
    <n v="0.50459907270404503"/>
    <n v="0.54458123674768799"/>
    <n v="0.52314402797294901"/>
    <n v="7.0596936182547049E-3"/>
    <n v="1.2659355703660443E-3"/>
    <n v="2.2987169735820857E-3"/>
    <n v="2.6898302861636685E-2"/>
    <n v="5.6960550438787108E-3"/>
    <n v="3.773702254634863E-3"/>
    <n v="4.6002969230461748E-4"/>
    <n v="1.8391671016356902E-3"/>
  </r>
  <r>
    <x v="3"/>
    <s v="Nevada"/>
    <n v="0.66869424170296499"/>
    <n v="0.61261619559731195"/>
    <n v="0.87371633490240996"/>
    <n v="0.83041418763987596"/>
    <n v="0.66702610292106801"/>
    <n v="0.64543465366589803"/>
    <n v="0.65794824462958901"/>
    <n v="0.62296860549811905"/>
    <n v="0.66704308983087002"/>
    <n v="3.1447472550277474E-3"/>
    <n v="4.2034058699881902E-2"/>
    <n v="2.6153340913837406E-2"/>
    <n v="2.7826869956687312E-6"/>
    <n v="5.4100843565406832E-4"/>
    <n v="1.1547645310100511E-4"/>
    <n v="2.0908338063379173E-3"/>
    <n v="2.7263025047227214E-6"/>
  </r>
  <r>
    <x v="3"/>
    <s v="New Hampshire"/>
    <n v="0.50050263885799395"/>
    <n v="0.36696711790993702"/>
    <n v="0.59839939863789604"/>
    <n v="0.58998861758023402"/>
    <n v="0.45023665134340901"/>
    <n v="0.366180618424645"/>
    <n v="0.40221277118030302"/>
    <n v="0.325908634225959"/>
    <n v="0.45075652826405199"/>
    <n v="1.7831735354868952E-2"/>
    <n v="9.5837755754038557E-3"/>
    <n v="8.0077403878772019E-3"/>
    <n v="2.5266695008164092E-3"/>
    <n v="1.8042405173297013E-2"/>
    <n v="9.6608980880979935E-3"/>
    <n v="3.048306645345104E-2"/>
    <n v="2.4746755192247044E-3"/>
  </r>
  <r>
    <x v="3"/>
    <s v="New Jersey"/>
    <n v="0.656825026547182"/>
    <n v="0.52025452028313202"/>
    <n v="0.71294215738085798"/>
    <n v="0.77635817921055605"/>
    <n v="0.60701148910508396"/>
    <n v="0.58032103518751799"/>
    <n v="0.59844322881989098"/>
    <n v="0.54606388694644403"/>
    <n v="0.61003554830262696"/>
    <n v="1.8651503181218915E-2"/>
    <n v="3.1491323730039071E-3"/>
    <n v="1.4288174585645488E-2"/>
    <n v="2.4813885124953037E-3"/>
    <n v="5.8528606939595457E-3"/>
    <n v="3.4084343058703227E-3"/>
    <n v="1.2268030045654164E-2"/>
    <n v="2.1892552743976892E-3"/>
  </r>
  <r>
    <x v="3"/>
    <s v="New Mexico"/>
    <n v="0.69255449571138805"/>
    <n v="0.49217659718934798"/>
    <n v="0.62649531432316197"/>
    <n v="0.66908238855747804"/>
    <n v="0.47347815025365197"/>
    <n v="0.56107247379978797"/>
    <n v="0.571881716698034"/>
    <n v="0.60506706561979895"/>
    <n v="0.58421363934258796"/>
    <n v="4.0151302216108992E-2"/>
    <n v="4.3638154456825552E-3"/>
    <n v="5.509398142446337E-4"/>
    <n v="4.7994445139117319E-2"/>
    <n v="1.7287522085962483E-2"/>
    <n v="1.4561919594805781E-2"/>
    <n v="7.6540504240306907E-3"/>
    <n v="1.173774115872497E-2"/>
  </r>
  <r>
    <x v="3"/>
    <s v="New York"/>
    <n v="0.67990650228849203"/>
    <n v="0.64144686614924495"/>
    <n v="0.81184043234633896"/>
    <n v="0.83071772935697696"/>
    <n v="0.67549385661236006"/>
    <n v="0.67986045404109197"/>
    <n v="0.49999998710635402"/>
    <n v="0.68166373498709498"/>
    <n v="0.67552949053740197"/>
    <n v="1.4791436119632798E-3"/>
    <n v="1.7406561900508846E-2"/>
    <n v="2.2744026209902124E-2"/>
    <n v="1.9471441863086227E-5"/>
    <n v="2.1204410886176516E-9"/>
    <n v="3.2366354204980859E-2"/>
    <n v="3.0878667570394088E-6"/>
    <n v="1.9158231869180518E-5"/>
  </r>
  <r>
    <x v="3"/>
    <s v="North Carolina"/>
    <n v="0.67031018537975695"/>
    <n v="0.59996160911402896"/>
    <n v="0.89678956218730499"/>
    <n v="0.78572176851353004"/>
    <n v="0.60881089307861302"/>
    <n v="0.67436902874656801"/>
    <n v="0.68067099293115696"/>
    <n v="0.71508511164144495"/>
    <n v="0.70586741756006599"/>
    <n v="4.948922182614948E-3"/>
    <n v="5.1292908119135332E-2"/>
    <n v="1.3319833521443817E-2"/>
    <n v="3.7821629535415408E-3"/>
    <n v="1.6474209476306142E-5"/>
    <n v="1.0734633311714744E-4"/>
    <n v="2.0047940217395974E-3"/>
    <n v="1.2643167603244047E-3"/>
  </r>
  <r>
    <x v="3"/>
    <s v="North Dakota"/>
    <n v="0.5"/>
    <n v="0.3922383922396"/>
    <n v="1.10512327086761"/>
    <n v="0.66638206220984397"/>
    <n v="0.46183583660309901"/>
    <n v="0.44371426901433503"/>
    <n v="0.46923367257479898"/>
    <n v="0.43471457663146801"/>
    <n v="0.461844026841989"/>
    <n v="1.1612564107106302E-2"/>
    <n v="0.36617417294551485"/>
    <n v="2.7682990625200389E-2"/>
    <n v="1.4565033677853569E-3"/>
    <n v="3.1680835125906461E-3"/>
    <n v="9.4656690323467664E-4"/>
    <n v="4.2621865044084632E-3"/>
    <n v="1.4558782876348561E-3"/>
  </r>
  <r>
    <x v="3"/>
    <s v="Ohio"/>
    <n v="0.59388611698355998"/>
    <n v="0.35541021478283402"/>
    <n v="0.55179391880647499"/>
    <n v="0.57852863883730599"/>
    <n v="0.43349048819443298"/>
    <n v="0.32956926046617002"/>
    <n v="0.370284691804244"/>
    <n v="0.274353948117108"/>
    <n v="0.43558745912416302"/>
    <n v="5.6870755930450212E-2"/>
    <n v="1.7717531473789964E-3"/>
    <n v="2.3585213501266884E-4"/>
    <n v="2.5726757734659426E-2"/>
    <n v="6.9863400639234505E-2"/>
    <n v="4.9997597342221235E-2"/>
    <n v="0.10210080694049878"/>
    <n v="2.5058465080086415E-2"/>
  </r>
  <r>
    <x v="3"/>
    <s v="Oklahoma"/>
    <n v="0.56322654207995004"/>
    <n v="0.29722690876042102"/>
    <n v="0.47458359029860903"/>
    <n v="0.51603146940356104"/>
    <n v="0.26769514165785602"/>
    <n v="0.38288012793128301"/>
    <n v="0.396949074554654"/>
    <n v="0.46155880853138398"/>
    <n v="0.60482588855284702"/>
    <n v="7.0755804926123891E-2"/>
    <n v="7.8575729005091483E-3"/>
    <n v="2.2273748849296398E-3"/>
    <n v="8.7338808635444076E-2"/>
    <n v="3.2524829096282529E-2"/>
    <n v="2.7648196206625879E-2"/>
    <n v="1.0336328044902225E-2"/>
    <n v="1.7305056269721266E-3"/>
  </r>
  <r>
    <x v="3"/>
    <s v="Oregon"/>
    <n v="0.59499763606551304"/>
    <n v="0.46624832903963198"/>
    <n v="0.70703458122501495"/>
    <n v="0.71939808034629305"/>
    <n v="0.53914946315206003"/>
    <n v="0.53749090386951204"/>
    <n v="0.55664495260825197"/>
    <n v="0.52633739327997697"/>
    <n v="0.53924487691390099"/>
    <n v="1.6576384059644584E-2"/>
    <n v="1.2552277080673238E-2"/>
    <n v="1.5475470537255452E-2"/>
    <n v="3.1190184177709462E-3"/>
    <n v="3.3070242478625777E-3"/>
    <n v="1.4709283283728663E-3"/>
    <n v="4.7142289393687573E-3"/>
    <n v="3.1083701530176602E-3"/>
  </r>
  <r>
    <x v="3"/>
    <s v="Pennsylvania"/>
    <n v="0.62926849019015896"/>
    <n v="0.52111421694004501"/>
    <n v="0.779694891814115"/>
    <n v="0.76819097554575"/>
    <n v="0.59191412834386004"/>
    <n v="0.59715521250872505"/>
    <n v="0.61196017807023795"/>
    <n v="0.592914212438718"/>
    <n v="0.591958005663339"/>
    <n v="1.1697346822260314E-2"/>
    <n v="2.2628102305531726E-2"/>
    <n v="1.9299456937374407E-2"/>
    <n v="1.3953483489442327E-3"/>
    <n v="1.0312626034448809E-3"/>
    <n v="2.995776684406045E-4"/>
    <n v="1.3216335108289148E-3"/>
    <n v="1.3920722556260711E-3"/>
  </r>
  <r>
    <x v="3"/>
    <s v="Rhode Island"/>
    <n v="0.56600899462648901"/>
    <n v="0.42039091039770798"/>
    <n v="0.77154047834068296"/>
    <n v="0.68778847075853899"/>
    <n v="0.50479170720859701"/>
    <n v="0.46843719907959003"/>
    <n v="0.49476177505436802"/>
    <n v="0.431581915276668"/>
    <n v="0.50479241804027297"/>
    <n v="2.1204626454460366E-2"/>
    <n v="4.2243190797757971E-2"/>
    <n v="1.483024080699653E-2"/>
    <n v="3.7475562788047991E-3"/>
    <n v="9.5202552862458569E-3"/>
    <n v="5.0761662967580201E-3"/>
    <n v="1.8070639662523074E-2"/>
    <n v="3.7474692489360543E-3"/>
  </r>
  <r>
    <x v="3"/>
    <s v="South Carolina"/>
    <n v="0.63058554143455103"/>
    <n v="0.35094190279746401"/>
    <n v="0.63388565063110502"/>
    <n v="0.575752799024004"/>
    <n v="0.369913763991853"/>
    <n v="0.43479489807706001"/>
    <n v="0.45329995008400997"/>
    <n v="0.48061799858793097"/>
    <n v="0.48636319940270101"/>
    <n v="7.8200564630189706E-2"/>
    <n v="1.0890720709180226E-5"/>
    <n v="3.0066296402614032E-3"/>
    <n v="6.7949775555135497E-2"/>
    <n v="3.8333976026340241E-2"/>
    <n v="3.1430180900511043E-2"/>
    <n v="2.2490263907452825E-2"/>
    <n v="2.0800083941151935E-2"/>
  </r>
  <r>
    <x v="3"/>
    <s v="South Dakota"/>
    <n v="0.41210526316580598"/>
    <n v="0.29308341608197902"/>
    <n v="0.70855684902050298"/>
    <n v="0.54310794715597199"/>
    <n v="0.34990640976096599"/>
    <n v="0.39493743576787299"/>
    <n v="0.41883248670211198"/>
    <n v="0.42781726825003902"/>
    <n v="0.41502670297861"/>
    <n v="1.4166200083245888E-2"/>
    <n v="8.7883542755764779E-2"/>
    <n v="1.7161703212627298E-2"/>
    <n v="3.8686973648767754E-3"/>
    <n v="2.9473429756521856E-4"/>
    <n v="4.5255536507429459E-5"/>
    <n v="2.4686710376696486E-4"/>
    <n v="8.5348105798363658E-6"/>
  </r>
  <r>
    <x v="3"/>
    <s v="Tennessee"/>
    <n v="0.67167674376250996"/>
    <n v="0.42223065558654699"/>
    <n v="0.655826783804347"/>
    <n v="0.61478991497298796"/>
    <n v="0.40598860098483303"/>
    <n v="0.483350790828599"/>
    <n v="0.49688402590115699"/>
    <n v="0.54244429359965196"/>
    <n v="0.70785063996699404"/>
    <n v="6.2223350906290296E-2"/>
    <n v="2.5122123067536925E-4"/>
    <n v="3.2361112897283896E-3"/>
    <n v="7.0590189212651241E-2"/>
    <n v="3.546666454846565E-2"/>
    <n v="3.0552494217358544E-2"/>
    <n v="1.6701026175095578E-2"/>
    <n v="1.3085507666127877E-3"/>
  </r>
  <r>
    <x v="3"/>
    <s v="Texas"/>
    <n v="0.695290853161877"/>
    <n v="0.43984266009130402"/>
    <n v="0.65766501222834095"/>
    <n v="0.64510832123953699"/>
    <n v="0.45770969993877503"/>
    <n v="0.47722928916081597"/>
    <n v="0.49646185399012499"/>
    <n v="0.50560726819243595"/>
    <n v="0.72606253339566396"/>
    <n v="6.5253779343020735E-2"/>
    <n v="1.4157039059557567E-3"/>
    <n v="2.5182865101366744E-3"/>
    <n v="5.6444804366819055E-2"/>
    <n v="4.7550845694588832E-2"/>
    <n v="3.9532970911640562E-2"/>
    <n v="3.5979862406859159E-2"/>
    <n v="9.4689630441043492E-4"/>
  </r>
  <r>
    <x v="3"/>
    <s v="Utah"/>
    <n v="0.612743587433908"/>
    <n v="0.45422175036013801"/>
    <n v="0.98035989681817404"/>
    <n v="0.70395858187687799"/>
    <n v="0.50163332931861504"/>
    <n v="0.51961919479739804"/>
    <n v="0.537121718272906"/>
    <n v="0.53769678851801295"/>
    <n v="0.58551134567302299"/>
    <n v="2.5129172829242877E-2"/>
    <n v="0.13514175092530842"/>
    <n v="8.3201752112310456E-3"/>
    <n v="1.2345489458447025E-2"/>
    <n v="8.6721525039188691E-3"/>
    <n v="5.7186670954037051E-3"/>
    <n v="5.6320220275227866E-3"/>
    <n v="7.4159499132328967E-4"/>
  </r>
  <r>
    <x v="3"/>
    <s v="Vermont"/>
    <n v="0.57018633539999997"/>
    <n v="0.43366778145819301"/>
    <n v="0.59541988258704504"/>
    <n v="0.62235440913134898"/>
    <n v="0.45282507499929597"/>
    <n v="0.45754910842479002"/>
    <n v="0.47886326287292302"/>
    <n v="0.470821516144452"/>
    <n v="704510273826973"/>
    <n v="1.8637315570362054E-2"/>
    <n v="6.367319036408301E-4"/>
    <n v="2.7215079168394674E-3"/>
    <n v="1.3773665442841851E-2"/>
    <n v="1.2687144900664964E-2"/>
    <n v="8.3399035757857551E-3"/>
    <n v="9.8733673056877157E-3"/>
    <n v="4.9633472592775561E+29"/>
  </r>
  <r>
    <x v="3"/>
    <s v="Virginia"/>
    <n v="0.71776253912944898"/>
    <n v="0.61061423332216702"/>
    <n v="0.82124471328954396"/>
    <n v="0.82916643117618105"/>
    <n v="0.66705933978879794"/>
    <n v="0.67862752386353398"/>
    <n v="0.49999964401499702"/>
    <n v="0.66324235789563601"/>
    <n v="0.66711986483181196"/>
    <n v="1.1480759437370813E-2"/>
    <n v="1.0708560368900229E-2"/>
    <n v="1.2410827163159933E-2"/>
    <n v="2.5708144233777962E-3"/>
    <n v="1.5315494198634007E-3"/>
    <n v="4.7420678488627806E-2"/>
    <n v="2.972450161767812E-3"/>
    <n v="2.5646804600165459E-3"/>
  </r>
  <r>
    <x v="3"/>
    <s v="Washington"/>
    <n v="0.61575521205184403"/>
    <n v="0.56276342339204699"/>
    <n v="0.756696263092833"/>
    <n v="0.77388812482589597"/>
    <n v="0.603756419130693"/>
    <n v="0.654253179829827"/>
    <n v="0.66206846525424201"/>
    <n v="0.69031517090470396"/>
    <n v="0.71168730651962797"/>
    <n v="2.8081296653645936E-3"/>
    <n v="1.9864379868538659E-2"/>
    <n v="2.5006018102405922E-2"/>
    <n v="1.4397103156466395E-4"/>
    <n v="1.4820935230346157E-3"/>
    <n v="2.1449174221894272E-3"/>
    <n v="5.5591874641401657E-3"/>
    <n v="9.202966748975824E-3"/>
  </r>
  <r>
    <x v="3"/>
    <s v="West Virginia"/>
    <n v="0.63113941223009495"/>
    <n v="0.36096415932742998"/>
    <n v="0.54971072097706197"/>
    <n v="0.54897991665558399"/>
    <n v="0.37079209175321198"/>
    <n v="0.40248693438636701"/>
    <n v="0.42406865569190599"/>
    <n v="0.437463000949877"/>
    <n v="31.655990440837499"/>
    <n v="7.2994667281018985E-2"/>
    <n v="6.6306317591817701E-3"/>
    <n v="6.7501827130580869E-3"/>
    <n v="6.7780727279492803E-2"/>
    <n v="5.2281955624076497E-2"/>
    <n v="4.2878298213297923E-2"/>
    <n v="3.7510552286384134E-2"/>
    <n v="962.54138134728191"/>
  </r>
  <r>
    <x v="3"/>
    <s v="Wisconsin"/>
    <n v="0.59900945143221196"/>
    <n v="0.52857528865020897"/>
    <n v="0.77460148438738596"/>
    <n v="0.79192617647012098"/>
    <n v="0.62406507909640896"/>
    <n v="0.52080296073376497"/>
    <n v="0.54886439322563896"/>
    <n v="0.43065175992489502"/>
    <n v="0.62446251338077696"/>
    <n v="4.9609712868016942E-3"/>
    <n v="3.0832562037330914E-2"/>
    <n v="3.7216862799352192E-2"/>
    <n v="6.2778447764687403E-4"/>
    <n v="6.1162551873662745E-3"/>
    <n v="2.5145268625405941E-3"/>
    <n v="2.83443122896729E-2"/>
    <n v="6.4785836255748768E-4"/>
  </r>
  <r>
    <x v="3"/>
    <s v="Wyoming"/>
    <n v="0.37847427556728402"/>
    <n v="0.14496084440030399"/>
    <n v="0.49131302275265398"/>
    <n v="0.43229008109335498"/>
    <n v="0.25082215868602298"/>
    <n v="0.29141203869240501"/>
    <n v="0.32133382617225797"/>
    <n v="0.30968181866351402"/>
    <n v="0.29374178081793101"/>
    <n v="5.452852253537592E-2"/>
    <n v="1.2732582866363838E-2"/>
    <n v="2.8961409244198898E-3"/>
    <n v="1.6295062944267132E-2"/>
    <n v="7.5798330896575438E-3"/>
    <n v="3.2650309570655327E-3"/>
    <n v="4.7324021268570536E-3"/>
    <n v="7.1795956664491367E-3"/>
  </r>
  <r>
    <x v="4"/>
    <s v="Alabama"/>
    <n v="0.49888964657763502"/>
    <n v="0.41038100634761199"/>
    <n v="0.64196682120067305"/>
    <n v="0.58548004143427901"/>
    <n v="0.379802352930662"/>
    <n v="0.44105346772714499"/>
    <n v="0.45718908215641502"/>
    <n v="0.49986521627005498"/>
    <n v="1.4612262837641501"/>
    <n v="7.8337793953676509E-3"/>
    <n v="2.0471077898111319E-2"/>
    <n v="7.4978964814295182E-3"/>
    <n v="1.4181783508160378E-2"/>
    <n v="3.3450235840258701E-3"/>
    <n v="1.7389370730483192E-3"/>
    <n v="9.5173622476838344E-7"/>
    <n v="0.92609180327145035"/>
  </r>
  <r>
    <x v="4"/>
    <s v="Alaska"/>
    <n v="0.49167822468931999"/>
    <n v="0.35972118495792799"/>
    <n v="0.56943100325181395"/>
    <n v="0.54350129493548804"/>
    <n v="0.42896224861768001"/>
    <n v="0.38833701298511197"/>
    <n v="0.41963594602843401"/>
    <n v="0.363509021488785"/>
    <s v="inf"/>
    <n v="1.7412660334672168E-2"/>
    <n v="6.0454945741882206E-3"/>
    <n v="2.6856306097392691E-3"/>
    <n v="3.9332936546185183E-3"/>
    <n v="1.0679406036493939E-2"/>
    <n v="5.1900899146527461E-3"/>
    <n v="1.6427344649060028E-2"/>
    <e v="#VALUE!"/>
  </r>
  <r>
    <x v="4"/>
    <s v="Arizona"/>
    <n v="0.75160999403385798"/>
    <n v="0.54986940380952998"/>
    <n v="0.749327594463715"/>
    <n v="0.73508024858489696"/>
    <n v="0.54940291738564395"/>
    <n v="0.61773443635360403"/>
    <n v="0.62635178748144504"/>
    <n v="0.65993084024322501"/>
    <n v="0.66425321241950797"/>
    <n v="4.0699265744060228E-2"/>
    <n v="5.2093477977888552E-6"/>
    <n v="2.7323248460744753E-4"/>
    <n v="4.0887701846616699E-2"/>
    <n v="1.7922664944199002E-2"/>
    <n v="1.5689618308726942E-2"/>
    <n v="8.40506723976653E-3"/>
    <n v="7.6312072940172395E-3"/>
  </r>
  <r>
    <x v="4"/>
    <s v="Arkansas"/>
    <n v="0.72348957991500296"/>
    <n v="0.61633171648021901"/>
    <n v="0.73927342318675104"/>
    <n v="0.761514715470195"/>
    <n v="0.58973233679402803"/>
    <n v="0.62368736299468297"/>
    <n v="0.63449259686336501"/>
    <n v="0.63037580573470897"/>
    <n v="3.94457043546717E+24"/>
    <n v="1.1482807695907806E-2"/>
    <n v="2.491297084271074E-4"/>
    <n v="1.4459109339907304E-3"/>
    <n v="1.7891000087323593E-2"/>
    <n v="9.9604825022106044E-3"/>
    <n v="7.9204629922935317E-3"/>
    <n v="8.6701749420987819E-3"/>
    <n v="1.5559635920361658E+49"/>
  </r>
  <r>
    <x v="4"/>
    <s v="California"/>
    <n v="0.74907640074987103"/>
    <n v="0.65488286803722895"/>
    <n v="0.81813785380534199"/>
    <n v="0.830082925433686"/>
    <n v="0.67328794521739699"/>
    <n v="0.72415287089300695"/>
    <n v="0.49999999310596899"/>
    <n v="0.75043178110852604"/>
    <n v="0.73310053799946495"/>
    <n v="8.8724216048875742E-3"/>
    <n v="4.7694842981330183E-3"/>
    <n v="6.562057041349525E-3"/>
    <n v="5.743889991997795E-3"/>
    <n v="6.2118234052599517E-4"/>
    <n v="6.2039056844791267E-2"/>
    <n v="1.8370559166277881E-6"/>
    <n v="2.5522819061981245E-4"/>
  </r>
  <r>
    <x v="4"/>
    <s v="Colorado"/>
    <n v="0.65122476181031097"/>
    <n v="0.50229932578879899"/>
    <n v="0.90272648319929805"/>
    <n v="0.75392223515674495"/>
    <n v="0.56041469639251396"/>
    <n v="0.61545712968451505"/>
    <n v="0.62653059719773596"/>
    <n v="0.63576257971185401"/>
    <n v="0.61928666108501296"/>
    <n v="2.2178785494197457E-2"/>
    <n v="6.3253115861623674E-2"/>
    <n v="1.0546771031741517E-2"/>
    <n v="8.2464679811845732E-3"/>
    <n v="1.2793235078862686E-3"/>
    <n v="6.0980176591295186E-4"/>
    <n v="2.3907907524584274E-4"/>
    <n v="1.0200422779392815E-3"/>
  </r>
  <r>
    <x v="4"/>
    <s v="Connecticut"/>
    <n v="0.59698725872736902"/>
    <n v="0.50823470848845298"/>
    <n v="0.64963687838082895"/>
    <n v="0.71156443337915698"/>
    <n v="0.535926822534179"/>
    <n v="0.50681299517687906"/>
    <n v="0.52767852401490201"/>
    <n v="0.498885806630604"/>
    <n v="4.6059303395727802E+71"/>
    <n v="7.8770151739113153E-3"/>
    <n v="2.7719824496539947E-3"/>
    <n v="1.3127928951186321E-2"/>
    <n v="3.7283768681026291E-3"/>
    <n v="8.131397806873223E-3"/>
    <n v="4.8037007074431303E-3"/>
    <n v="9.6238949034938813E-3"/>
    <n v="2.1214594292997026E+143"/>
  </r>
  <r>
    <x v="4"/>
    <s v="Delaware"/>
    <n v="0.53992833375848104"/>
    <n v="0.31725108779505101"/>
    <n v="0.65001152060274503"/>
    <n v="0.59776734798472797"/>
    <n v="0.47277149735553697"/>
    <n v="0.33478369347972797"/>
    <n v="0.387942577188926"/>
    <n v="0.21191210061101601"/>
    <n v="0.47277268381757898"/>
    <n v="4.9585155869857914E-2"/>
    <n v="1.2118308025789136E-2"/>
    <n v="3.3453515666639951E-3"/>
    <n v="4.5100406756517931E-3"/>
    <n v="4.2084323435098991E-2"/>
    <n v="2.3099670200020045E-2"/>
    <n v="0.10759464920825214"/>
    <n v="4.5098813189849794E-3"/>
  </r>
  <r>
    <x v="4"/>
    <s v="District of Columbia"/>
    <n v="0.92763157894736803"/>
    <n v="0.89724310774238203"/>
    <n v="0.95603175098418702"/>
    <n v="0.96498200857134298"/>
    <n v="0.90384033612236303"/>
    <n v="0.82461199188817702"/>
    <n v="0.49999984499646"/>
    <n v="0.75326179274285698"/>
    <n v="0.90391079400255803"/>
    <n v="9.2345918217626329E-4"/>
    <n v="8.0656977172091551E-4"/>
    <n v="1.3950545930955052E-3"/>
    <n v="5.660232351583518E-4"/>
    <n v="1.0613035317846235E-2"/>
    <n v="0.1828688998818602"/>
    <n v="3.0404822341006891E-2"/>
    <n v="5.6267563839792491E-4"/>
  </r>
  <r>
    <x v="4"/>
    <s v="Florida"/>
    <n v="0.78913399806669704"/>
    <n v="0.67581525027813205"/>
    <n v="0.80490686387758803"/>
    <n v="0.81605508449362396"/>
    <n v="0.65271835340935902"/>
    <n v="0.645991461091877"/>
    <n v="0.65636150421835204"/>
    <n v="0.66250583745867897"/>
    <n v="4.44548584584159E+22"/>
    <n v="1.2841138600368403E-2"/>
    <n v="2.4878329588837389E-4"/>
    <n v="7.2474489440606889E-4"/>
    <n v="1.8609228107277116E-2"/>
    <n v="2.0489785891587724E-2"/>
    <n v="1.7628535122708809E-2"/>
    <n v="1.603469105897002E-2"/>
    <n v="1.9762344405577918E+45"/>
  </r>
  <r>
    <x v="4"/>
    <s v="Georgia"/>
    <n v="0.78041163569209504"/>
    <n v="0.75679510055932298"/>
    <n v="0.97654256099092496"/>
    <n v="0.84058469914130496"/>
    <n v="0.67770730407010005"/>
    <n v="0.68684567206937197"/>
    <n v="0.69360822847432102"/>
    <n v="0.71567779432706202"/>
    <n v="15.5795587051957"/>
    <n v="5.5774073167745727E-4"/>
    <n v="3.84673398585752E-2"/>
    <n v="3.6207975648626426E-3"/>
    <n v="1.0548179733920721E-2"/>
    <n v="8.7545895486487359E-3"/>
    <n v="7.534831504614703E-3"/>
    <n v="4.1904702178732602E-3"/>
    <n v="219.01475398479712"/>
  </r>
  <r>
    <x v="4"/>
    <s v="Hawaii"/>
    <n v="0.92352291552126897"/>
    <n v="0.87550872248939304"/>
    <n v="0.93455509047320595"/>
    <n v="0.95730535023441998"/>
    <n v="0.89476741517931802"/>
    <n v="0.89208148041637003"/>
    <n v="0.49999997997761902"/>
    <n v="0.88279694639056105"/>
    <n v="0.89494534650258095"/>
    <n v="2.3053627325022429E-3"/>
    <n v="1.2170888417014569E-4"/>
    <n v="1.1412528951483104E-3"/>
    <n v="8.2687879991594161E-4"/>
    <n v="9.8856384145557148E-4"/>
    <n v="0.17937167693151068"/>
    <n v="1.6586045616353742E-3"/>
    <n v="8.1667745101787737E-4"/>
  </r>
  <r>
    <x v="4"/>
    <s v="Idaho"/>
    <n v="0.48286273869980501"/>
    <n v="0.30442537712689"/>
    <n v="1"/>
    <n v="0.56104168658640996"/>
    <n v="0.390620068963353"/>
    <n v="0.34087375955829802"/>
    <n v="0.37721422592049098"/>
    <n v="0.30884256651282799"/>
    <n v="0.39062298026001002"/>
    <n v="3.1839892005103204E-2"/>
    <n v="0.26743094702506615"/>
    <n v="6.1119478926564934E-3"/>
    <n v="8.5087101201081587E-3"/>
    <n v="2.0160870197647306E-2"/>
    <n v="1.116160825248088E-2"/>
    <n v="3.0283020327985129E-2"/>
    <n v="8.5081730370317292E-3"/>
  </r>
  <r>
    <x v="4"/>
    <s v="Illinois"/>
    <n v="0.71223649327473104"/>
    <n v="0.63959432956299"/>
    <n v="0.82106365357335498"/>
    <n v="0.86039889275783799"/>
    <n v="0.72172396995242205"/>
    <n v="0.705336733513378"/>
    <n v="0.49999986228681398"/>
    <n v="0.68202180198512197"/>
    <n v="0.72281456782539999"/>
    <n v="5.2768839487233868E-3"/>
    <n v="1.184335081866239E-2"/>
    <n v="2.195209662059177E-2"/>
    <n v="9.0012213709730825E-5"/>
    <n v="4.7606684764386583E-5"/>
    <n v="4.5044387533101277E-2"/>
    <n v="9.129275697263785E-4"/>
    <n v="1.1189566119951006E-4"/>
  </r>
  <r>
    <x v="4"/>
    <s v="Indiana"/>
    <n v="0.467245133903472"/>
    <n v="0.37023940819930601"/>
    <n v="0.70909633083566503"/>
    <n v="0.57197257849701399"/>
    <n v="0.40082143358852002"/>
    <n v="0.423060913609481"/>
    <n v="0.44510208726316403"/>
    <n v="0.45059239948896601"/>
    <n v="0.79002307261551297"/>
    <n v="9.4101108193918905E-3"/>
    <n v="5.8492001457534415E-2"/>
    <n v="1.0967837651093409E-2"/>
    <n v="4.4121079635305524E-3"/>
    <n v="1.9522453229879257E-3"/>
    <n v="4.9031451451485417E-4"/>
    <n v="2.7731356348007207E-4"/>
    <n v="0.10418559771919407"/>
  </r>
  <r>
    <x v="4"/>
    <s v="Iowa"/>
    <n v="0.64740368512795099"/>
    <n v="0.40676201518953597"/>
    <n v="0.63264162931141399"/>
    <n v="0.58950559433715399"/>
    <n v="0.41774582999870202"/>
    <n v="0.45614706797739502"/>
    <n v="0.47627936054202202"/>
    <n v="0.48012767140739998"/>
    <n v="3.23331544173144"/>
    <n v="5.7908413310749071E-2"/>
    <n v="2.1791829193055389E-4"/>
    <n v="3.3521889172193719E-3"/>
    <n v="5.2742730422567108E-2"/>
    <n v="3.6579093603874339E-2"/>
    <n v="2.9283534464990373E-2"/>
    <n v="2.7981264766237968E-2"/>
    <n v="6.6869396129401419"/>
  </r>
  <r>
    <x v="4"/>
    <s v="Kansas"/>
    <n v="0.41467938525876202"/>
    <n v="2.5512084935744399E-2"/>
    <n v="0.82074950692863902"/>
    <n v="0.48922208406220702"/>
    <n v="0.27307760443309997"/>
    <n v="0.32674068268044898"/>
    <n v="0.356257019699461"/>
    <n v="0.35218770805028599"/>
    <n v="0.33159263146802098"/>
    <n v="0.15145118764070578"/>
    <n v="0.16489294371298871"/>
    <n v="5.5566139449011202E-3"/>
    <n v="2.0051064332998834E-2"/>
    <n v="7.7332154111570016E-3"/>
    <n v="3.4131727975446027E-3"/>
    <n v="3.9052097203283636E-3"/>
    <n v="6.9034086554832204E-3"/>
  </r>
  <r>
    <x v="4"/>
    <s v="Kentucky"/>
    <n v="0.67095971034354396"/>
    <n v="0.52889621138242204"/>
    <n v="0.83301828593775695"/>
    <n v="0.760574229759164"/>
    <n v="0.57125443744590498"/>
    <n v="0.54881708092780501"/>
    <n v="0.56860085520952597"/>
    <n v="0.52281251877667201"/>
    <n v="0.57130712235167003"/>
    <n v="2.0182037737076688E-2"/>
    <n v="2.6262981923625247E-2"/>
    <n v="8.0307620900925414E-3"/>
    <n v="9.9411414435926614E-3"/>
    <n v="1.4918821920590537E-2"/>
    <n v="1.047733522434688E-2"/>
    <n v="2.1947590369151455E-2"/>
    <n v="9.9306382934781761E-3"/>
  </r>
  <r>
    <x v="4"/>
    <s v="Louisiana"/>
    <n v="0.68621353986189904"/>
    <n v="0.63537915553856905"/>
    <n v="0.77412561418200099"/>
    <n v="0.76569376716522597"/>
    <n v="0.58933454003997099"/>
    <n v="0.65332430788177498"/>
    <n v="0.66024257427868305"/>
    <n v="0.69668516339192399"/>
    <n v="0.77815502788706503"/>
    <n v="2.5841346295320173E-3"/>
    <n v="7.7285328112631294E-3"/>
    <n v="6.3171065321885158E-3"/>
    <n v="9.385540606497135E-3"/>
    <n v="1.0817015802424149E-3"/>
    <n v="6.7449105332458936E-4"/>
    <n v="1.0965489935457228E-4"/>
    <n v="8.4532372202817431E-3"/>
  </r>
  <r>
    <x v="4"/>
    <s v="Maine"/>
    <n v="0.35802055408648598"/>
    <n v="0.258576606093739"/>
    <n v="0.56258665419875198"/>
    <n v="0.53527836018618202"/>
    <n v="0.44877426828484102"/>
    <n v="0.26817271523021802"/>
    <n v="0.327881849733549"/>
    <n v="0.15806552633693699"/>
    <n v="0.44878863485138298"/>
    <n v="9.8890987923841642E-3"/>
    <n v="4.1847289315141638E-2"/>
    <n v="3.1420329823277443E-2"/>
    <n v="8.2362366407967083E-3"/>
    <n v="8.0726341471418946E-3"/>
    <n v="9.0834150007374208E-4"/>
    <n v="3.9982013122322906E-2"/>
    <n v="8.2388444857428664E-3"/>
  </r>
  <r>
    <x v="4"/>
    <s v="Maryland"/>
    <n v="0.79668180827326496"/>
    <n v="0.67348187118448199"/>
    <n v="0.82733810246745398"/>
    <n v="0.84958544841092798"/>
    <n v="0.697610843689355"/>
    <n v="0.69337594069505604"/>
    <n v="0.49999998402196699"/>
    <n v="0.68367553077600096"/>
    <n v="0.69791265027744298"/>
    <n v="1.517822449868008E-2"/>
    <n v="9.3980837372066779E-4"/>
    <n v="2.79879513981535E-3"/>
    <n v="9.815056023586342E-3"/>
    <n v="1.0672102276086438E-2"/>
    <n v="8.8020104841078056E-2"/>
    <n v="1.2770418753788634E-2"/>
    <n v="9.755346571203645E-3"/>
  </r>
  <r>
    <x v="4"/>
    <s v="Massachusetts"/>
    <n v="0.69953179298116597"/>
    <n v="0.56968882675986998"/>
    <n v="0.78118585916028305"/>
    <n v="0.814346088755588"/>
    <n v="0.64870134396475698"/>
    <n v="0.60042916394283596"/>
    <n v="0.61754188390988995"/>
    <n v="0.56848773126446395"/>
    <n v="0.64912351782595901"/>
    <n v="1.6859195877144611E-2"/>
    <n v="6.6673865235836322E-3"/>
    <n v="1.3182322514176467E-2"/>
    <n v="2.5837345472097531E-3"/>
    <n v="9.8213310823088498E-3"/>
    <n v="6.7223451895161088E-3"/>
    <n v="1.7172546111210808E-2"/>
    <n v="2.5409942041230552E-3"/>
  </r>
  <r>
    <x v="4"/>
    <s v="Michigan"/>
    <n v="0.63609434301738699"/>
    <n v="0.497294197827788"/>
    <n v="0.75800489023561701"/>
    <n v="0.71787788589694301"/>
    <n v="0.53350803192093099"/>
    <n v="0.52559963713208402"/>
    <n v="0.545488586086876"/>
    <n v="0.52080269206083196"/>
    <s v="inf"/>
    <n v="1.9265480304653759E-2"/>
    <n v="1.4862181523048293E-2"/>
    <n v="6.6885478859321787E-3"/>
    <n v="1.0523951224378851E-2"/>
    <n v="1.2209080028679606E-2"/>
    <n v="8.2094031889508399E-3"/>
    <n v="1.3292164780288116E-2"/>
    <e v="#VALUE!"/>
  </r>
  <r>
    <x v="4"/>
    <s v="Minnesota"/>
    <n v="0.75156776410724702"/>
    <n v="0.68484661978983896"/>
    <n v="0.82912210463388203"/>
    <n v="0.83214215450638196"/>
    <n v="0.68761902116981699"/>
    <n v="0.75476831640449205"/>
    <n v="0.499999969616583"/>
    <n v="0.79869472234629202"/>
    <n v="0.96544654277167397"/>
    <n v="4.4517110990243934E-3"/>
    <n v="6.0146757345212621E-3"/>
    <n v="6.492232388192209E-3"/>
    <n v="4.0894417232775065E-3"/>
    <n v="1.0243535007400436E-5"/>
    <n v="6.3286355224896965E-2"/>
    <n v="2.2209501928646918E-3"/>
    <n v="4.5744131962986934E-2"/>
  </r>
  <r>
    <x v="4"/>
    <s v="Mississippi"/>
    <n v="0.47664472686774101"/>
    <n v="0.31227927809505301"/>
    <n v="0.60216350312875899"/>
    <n v="0.51521375450511098"/>
    <n v="0.32903204690485"/>
    <n v="0.36590088143911698"/>
    <n v="0.38826144638263899"/>
    <n v="0.40623259719018001"/>
    <n v="13208.424554699201"/>
    <n v="2.701600075024712E-2"/>
    <n v="1.5754963194063491E-2"/>
    <n v="1.4875698928922085E-3"/>
    <n v="2.1789503285826885E-2"/>
    <n v="1.2264199300318973E-2"/>
    <n v="7.8116042693082161E-3"/>
    <n v="4.9578680057296666E-3"/>
    <n v="174449887.99254251"/>
  </r>
  <r>
    <x v="4"/>
    <s v="Missouri"/>
    <n v="0.62960138792457598"/>
    <n v="0.50067234981980202"/>
    <n v="0.87057908759751401"/>
    <n v="0.71411476387302497"/>
    <n v="0.52215805219005595"/>
    <n v="0.59557443088484996"/>
    <n v="0.60420819761398803"/>
    <n v="0.64759388061035195"/>
    <n v="0.74806405674676402"/>
    <n v="1.6622696866622256E-2"/>
    <n v="5.8070251739660718E-2"/>
    <n v="7.1425107142038761E-3"/>
    <n v="1.1544070393760788E-2"/>
    <n v="1.1578338053833605E-3"/>
    <n v="6.4481411414973801E-4"/>
    <n v="3.2372979304770149E-4"/>
    <n v="1.4033403904475401E-2"/>
  </r>
  <r>
    <x v="4"/>
    <s v="Montana"/>
    <n v="0.177848497561442"/>
    <n v="2.2148105447837199E-2"/>
    <n v="0.36278818094406301"/>
    <n v="0.28768897890683498"/>
    <n v="0.27044101790945801"/>
    <n v="0.14124370634185199"/>
    <n v="0.20478446814048801"/>
    <n v="6.8847234385367606E-2"/>
    <n v="0.27594818452339198"/>
    <n v="2.4242612104330291E-2"/>
    <n v="3.4202686489664104E-2"/>
    <n v="1.2064931342187623E-2"/>
    <n v="8.5733748243977601E-3"/>
    <n v="1.3399107402297739E-3"/>
    <n v="7.2554651103523223E-4"/>
    <n v="1.1881275373979832E-2"/>
    <n v="9.6235485820325792E-3"/>
  </r>
  <r>
    <x v="4"/>
    <s v="Nebraska"/>
    <n v="0.64675615211846904"/>
    <n v="0.52828379672179404"/>
    <n v="0.77843808462722297"/>
    <n v="0.73210097757989001"/>
    <n v="0.51090263325989405"/>
    <n v="0.65199647884599099"/>
    <n v="0.65607983019915395"/>
    <n v="0.713032029229276"/>
    <n v="0.72759317171789195"/>
    <n v="1.4035698993236067E-2"/>
    <n v="1.7340131349240024E-2"/>
    <n v="7.283739233040409E-3"/>
    <n v="1.8456178586257192E-2"/>
    <n v="2.7461024211180898E-5"/>
    <n v="8.6930972952244158E-5"/>
    <n v="4.3924918868067852E-3"/>
    <n v="6.5346237377174841E-3"/>
  </r>
  <r>
    <x v="4"/>
    <s v="Nevada"/>
    <n v="0.77644332070796396"/>
    <n v="0.74562959644875804"/>
    <n v="0.90193276098242203"/>
    <n v="0.91862218540366303"/>
    <n v="0.81500523114712498"/>
    <n v="0.79580130481908595"/>
    <n v="0.49999999194563"/>
    <n v="0.767628183903172"/>
    <n v="0.81512428004779003"/>
    <n v="9.494856027223755E-4"/>
    <n v="1.574759962039678E-2"/>
    <n v="2.0214829566157902E-2"/>
    <n v="1.4870209367178755E-3"/>
    <n v="3.7473154884645163E-4"/>
    <n v="7.6420914017199859E-2"/>
    <n v="7.7706636887197743E-5"/>
    <n v="1.4962166154492778E-3"/>
  </r>
  <r>
    <x v="4"/>
    <s v="New Hampshire"/>
    <n v="0.5"/>
    <n v="0.292212222616128"/>
    <n v="0.42960038241294102"/>
    <n v="0.49416431207533101"/>
    <n v="0.34234300571276699"/>
    <n v="0.33607539645907403"/>
    <n v="0.36520006730641502"/>
    <n v="0.34937028866561498"/>
    <n v="86.639417818075302"/>
    <n v="4.3175760430129544E-2"/>
    <n v="4.956106156404144E-3"/>
    <n v="3.405525355412742E-5"/>
    <n v="2.4855727847684621E-2"/>
    <n v="2.6871275646049759E-2"/>
    <n v="1.817102185419504E-2"/>
    <n v="2.2689309936680158E-2"/>
    <n v="7419.9993020369484"/>
  </r>
  <r>
    <x v="4"/>
    <s v="New Jersey"/>
    <n v="0.71854052062671303"/>
    <n v="0.60390649307105004"/>
    <n v="0.77828280472828204"/>
    <n v="0.81874947738473003"/>
    <n v="0.65550733682524898"/>
    <n v="0.63948690990961399"/>
    <n v="0.65288111520556402"/>
    <n v="0.61170023469298396"/>
    <n v="0.65580585792071699"/>
    <n v="1.31409602736325E-2"/>
    <n v="3.5691405096725851E-3"/>
    <n v="1.0041835014530121E-2"/>
    <n v="3.9731822601491501E-3"/>
    <n v="6.2494733674106368E-3"/>
    <n v="4.3111575202588121E-3"/>
    <n v="1.1414846698400986E-2"/>
    <n v="3.9356379048350902E-3"/>
  </r>
  <r>
    <x v="4"/>
    <s v="New Mexico"/>
    <n v="0.78479559032017299"/>
    <n v="0.635578886719108"/>
    <n v="0.78523027589705996"/>
    <n v="0.82406743294578499"/>
    <n v="0.66128295555332095"/>
    <n v="0.69433572163214297"/>
    <n v="0.49999998743471902"/>
    <n v="0.70751832844832596"/>
    <n v="0.69661686085302899"/>
    <n v="2.2265624633568078E-2"/>
    <n v="1.8895155075356039E-7"/>
    <n v="1.5422776232108363E-3"/>
    <n v="1.5255370947049787E-2"/>
    <n v="8.1829878430556349E-3"/>
    <n v="8.1108535422889191E-2"/>
    <n v="5.9717752024100222E-3"/>
    <n v="7.7754883304397698E-3"/>
  </r>
  <r>
    <x v="4"/>
    <s v="New York"/>
    <n v="0.77011370087989195"/>
    <n v="0.66879383369636403"/>
    <n v="0.81852990695908601"/>
    <n v="0.85355166713688102"/>
    <n v="0.702000031863111"/>
    <n v="0.69224181829937803"/>
    <n v="0.499999713391025"/>
    <n v="0.67736952670818296"/>
    <n v="0.70301064125002899"/>
    <n v="1.0265715486087738E-2"/>
    <n v="2.3441290111029878E-3"/>
    <n v="6.9618942131024469E-3"/>
    <n v="4.639471906927586E-3"/>
    <n v="6.0640300966333469E-3"/>
    <n v="7.2961566237135775E-2"/>
    <n v="8.6014818427922937E-3"/>
    <n v="4.5028206116889445E-3"/>
  </r>
  <r>
    <x v="4"/>
    <s v="North Carolina"/>
    <n v="0.74537124316813896"/>
    <n v="0.62879068981992703"/>
    <n v="0.85898886827212695"/>
    <n v="0.81424795984353504"/>
    <n v="0.64392560586904501"/>
    <n v="0.64534285349907705"/>
    <n v="0.65576241787537004"/>
    <n v="0.65708536502493398"/>
    <n v="0.70250295625470205"/>
    <n v="1.359102541897529E-2"/>
    <n v="1.290896473427036E-2"/>
    <n v="4.744002099982784E-3"/>
    <n v="1.0291217327019321E-2"/>
    <n v="1.0005678739785692E-2"/>
    <n v="8.0297415703499842E-3"/>
    <n v="7.7943962795168405E-3"/>
    <n v="1.8376900228927466E-3"/>
  </r>
  <r>
    <x v="4"/>
    <s v="North Dakota"/>
    <n v="0.5"/>
    <n v="0.27906976744186002"/>
    <n v="0.96358047740852304"/>
    <n v="0.72426055194573502"/>
    <n v="0.51900213188633304"/>
    <n v="0.508876990881861"/>
    <n v="0.53200026461632999"/>
    <n v="0.47878324962563101"/>
    <n v="0.51900536058684998"/>
    <n v="4.8810167658193813E-2"/>
    <n v="0.21490685903431414"/>
    <n v="5.0292795159005713E-2"/>
    <n v="3.6108101622559489E-4"/>
    <n v="7.8800967116643379E-5"/>
    <n v="1.024016935515141E-3"/>
    <n v="4.5015049644828652E-4"/>
    <n v="3.6120373103619077E-4"/>
  </r>
  <r>
    <x v="4"/>
    <s v="Ohio"/>
    <n v="0.64438690289760203"/>
    <n v="0.39094249743493997"/>
    <n v="0.63589335101919897"/>
    <n v="0.586633346967386"/>
    <n v="0.42390837801995002"/>
    <n v="0.44046771671844698"/>
    <n v="0.46231502706983102"/>
    <n v="0.46287004948721"/>
    <n v="18.477657149822701"/>
    <n v="6.4234066660322248E-2"/>
    <n v="7.2140423511124157E-5"/>
    <n v="3.3354732225845908E-3"/>
    <n v="4.8610779932225422E-2"/>
    <n v="4.1583034491968901E-2"/>
    <n v="3.3150167967443266E-2"/>
    <n v="3.2948368072009751E-2"/>
    <n v="318.02552769986403"/>
  </r>
  <r>
    <x v="4"/>
    <s v="Oklahoma"/>
    <n v="0.46438738408784902"/>
    <n v="0.21557168626572301"/>
    <n v="0.63474651558792194"/>
    <n v="0.490324804567561"/>
    <n v="0.29438738460596298"/>
    <n v="0.31501133874639098"/>
    <n v="0.34063782152206101"/>
    <n v="0.36262241548818003"/>
    <n v="1.9400104993331"/>
    <n v="6.1909251482711522E-2"/>
    <n v="2.9022233685459139E-2"/>
    <n v="6.7274978114138253E-4"/>
    <n v="2.8899999823841255E-2"/>
    <n v="2.2313202921853327E-2"/>
    <n v="1.531395423522388E-2"/>
    <n v="1.0356108834091616E-2"/>
    <n v="2.1774635782460994"/>
  </r>
  <r>
    <x v="4"/>
    <s v="Oregon"/>
    <n v="0.64143562063042703"/>
    <n v="0.56496908188540296"/>
    <n v="0.73902265169297598"/>
    <n v="0.77157973356586596"/>
    <n v="0.60134832239397096"/>
    <n v="0.52645472824968997"/>
    <n v="0.548494838832291"/>
    <n v="0.486550922822931"/>
    <n v="0.60263122635946398"/>
    <n v="5.8471315476442678E-3"/>
    <n v="9.5232286316028949E-3"/>
    <n v="1.6937490131752282E-2"/>
    <n v="1.6069914798985739E-3"/>
    <n v="1.3220605612670636E-2"/>
    <n v="8.6379889212487328E-3"/>
    <n v="2.3989269614919366E-2"/>
    <n v="1.50578101473635E-3"/>
  </r>
  <r>
    <x v="4"/>
    <s v="Pennsylvania"/>
    <n v="0.67948818892575502"/>
    <n v="0.50489699105068797"/>
    <n v="0.73127136394932901"/>
    <n v="0.76256359393018103"/>
    <n v="0.58989352941198903"/>
    <n v="0.50153812113621898"/>
    <n v="0.53149905986964496"/>
    <n v="0.408761090125905"/>
    <n v="0.59020374038095502"/>
    <n v="3.0482086375450818E-2"/>
    <n v="2.6814972155220973E-3"/>
    <n v="6.9015229166494094E-3"/>
    <n v="8.0272030133876592E-3"/>
    <n v="3.1666226626300469E-2"/>
    <n v="2.1900782318785998E-2"/>
    <n v="7.3293162024583747E-2"/>
    <n v="7.9717127519490383E-3"/>
  </r>
  <r>
    <x v="4"/>
    <s v="Rhode Island"/>
    <n v="0.80435281960741201"/>
    <n v="0.70045804038491999"/>
    <n v="0.77237839209220804"/>
    <n v="0.82280465899359501"/>
    <n v="0.66281930751026097"/>
    <n v="0.70388025230100204"/>
    <n v="0.49999991586562897"/>
    <n v="0.73418501536249103"/>
    <n v="11.944597178453099"/>
    <n v="1.0794125149690359E-2"/>
    <n v="1.0223640149250323E-3"/>
    <n v="3.4047037673349422E-4"/>
    <n v="2.0031735046554398E-2"/>
    <n v="1.0094736781141081E-2"/>
    <n v="9.2630690016055048E-2"/>
    <n v="4.9235207525535497E-3"/>
    <n v="124.10504437479314"/>
  </r>
  <r>
    <x v="4"/>
    <s v="South Carolina"/>
    <n v="0.46760767190765401"/>
    <n v="0.194957482191808"/>
    <n v="0.71107987406559703"/>
    <n v="0.478296035154823"/>
    <n v="0.38295512755217598"/>
    <n v="0.32001254676394397"/>
    <n v="0.36379884048834599"/>
    <n v="0.25390692708588503"/>
    <n v="0.38298485709493701"/>
    <n v="7.4338125952086803E-2"/>
    <n v="5.9278713223638271E-2"/>
    <n v="1.1424110890343275E-4"/>
    <n v="7.166053265856176E-3"/>
    <n v="2.1784320966187428E-2"/>
    <n v="1.0776273480642312E-2"/>
    <n v="4.5668008337378822E-2"/>
    <n v="7.1610207868273946E-3"/>
  </r>
  <r>
    <x v="4"/>
    <s v="South Dakota"/>
    <n v="0.66666666666666596"/>
    <n v="2.8518518538337201E-2"/>
    <n v="0.315569098502542"/>
    <n v="0.276380655308409"/>
    <n v="0.22893431282233601"/>
    <n v="0.17316599458895099"/>
    <n v="0.22025567150808101"/>
    <n v="0.13564818674362999"/>
    <n v="0.230538286312098"/>
    <n v="0.40723305895961542"/>
    <n v="0.12326950237076167"/>
    <n v="0.15232317066193748"/>
    <n v="0.19160961360209769"/>
    <n v="0.24354291334115638"/>
    <n v="0.19928277659847815"/>
    <n v="0.28198062601977175"/>
    <n v="0.19020796415069871"/>
  </r>
  <r>
    <x v="4"/>
    <s v="Tennessee"/>
    <n v="0.62596535270562204"/>
    <n v="0.52290346359356898"/>
    <n v="0.78563789002675599"/>
    <n v="0.700485528622107"/>
    <n v="0.50833410797370304"/>
    <n v="0.56826060146322499"/>
    <n v="0.57827275398169498"/>
    <n v="0.62257441523582602"/>
    <n v="1.1181334753626699"/>
    <n v="1.0621752987345119E-2"/>
    <n v="2.5495319174568917E-2"/>
    <n v="5.553256618623866E-3"/>
    <n v="1.3837109737180621E-2"/>
    <n v="3.3298383159469235E-3"/>
    <n v="2.274583973041529E-3"/>
    <n v="1.1498456924066621E-5"/>
    <n v="0.24222946095976294"/>
  </r>
  <r>
    <x v="4"/>
    <s v="Texas"/>
    <n v="0.74199777434209402"/>
    <n v="0.54364874407212405"/>
    <n v="0.75762631914651501"/>
    <n v="0.73694296334659404"/>
    <n v="0.550589910596059"/>
    <n v="0.60285767405905399"/>
    <n v="0.61367743080010895"/>
    <n v="0.64317017010054001"/>
    <n v="0.63902797123619204"/>
    <n v="3.9342337809037467E-2"/>
    <n v="2.442514127037945E-4"/>
    <n v="2.5551114200227508E-5"/>
    <n v="3.663697030382071E-2"/>
    <n v="1.9359967506774434E-2"/>
    <n v="1.6466110566733069E-2"/>
    <n v="9.7668953601252242E-3"/>
    <n v="1.0602780351668221E-2"/>
  </r>
  <r>
    <x v="4"/>
    <s v="Utah"/>
    <n v="0.73478355690987196"/>
    <n v="0.67164540409086604"/>
    <n v="0.79653259311102298"/>
    <n v="0.80751374679379895"/>
    <n v="0.64735835780745599"/>
    <n v="0.69177821642813297"/>
    <n v="0.49999994586319002"/>
    <n v="0.72784062979629005"/>
    <n v="0.80296789029376303"/>
    <n v="3.9864263413961452E-3"/>
    <n v="3.8129434717710593E-3"/>
    <n v="5.2896805205520751E-3"/>
    <n v="7.6431654380970746E-3"/>
    <n v="1.849459309950298E-3"/>
    <n v="5.5123344016119631E-2"/>
    <n v="4.8204236904510821E-5"/>
    <n v="4.6491033190056022E-3"/>
  </r>
  <r>
    <x v="4"/>
    <s v="Vermont"/>
    <n v="0.73296089388306196"/>
    <n v="0.64008171429287497"/>
    <n v="0.77866330291580499"/>
    <n v="0.81357509711157405"/>
    <n v="0.64327170176477899"/>
    <n v="0.62591175967625701"/>
    <n v="0.63834184923425097"/>
    <n v="0.62382137999593901"/>
    <n v="1.6690291480545E+65"/>
    <n v="8.6265420013462071E-3"/>
    <n v="2.0887101913961517E-3"/>
    <n v="6.4986497621678492E-3"/>
    <n v="8.0441511828302711E-3"/>
    <n v="1.1459517134426538E-2"/>
    <n v="8.9527636102536869E-3"/>
    <n v="1.1911433491517503E-2"/>
    <n v="2.7856582970555302E+130"/>
  </r>
  <r>
    <x v="4"/>
    <s v="Virginia"/>
    <n v="0.85434672277157597"/>
    <n v="0.79357439303101196"/>
    <n v="0.86214281215713495"/>
    <n v="0.88824712685127305"/>
    <n v="0.76815424087280004"/>
    <n v="0.80582853561418599"/>
    <n v="0.49999994684409599"/>
    <n v="0.82799055184567705"/>
    <n v="0.814156738766316"/>
    <n v="3.6932760620958412E-3"/>
    <n v="6.0779009707625392E-5"/>
    <n v="1.1492373967667423E-3"/>
    <n v="7.4291439358708166E-3"/>
    <n v="2.3540144850395222E-3"/>
    <n v="0.1255616376101997"/>
    <n v="6.9464774587519977E-4"/>
    <n v="1.6152348143430523E-3"/>
  </r>
  <r>
    <x v="4"/>
    <s v="Washington"/>
    <n v="0.60016671882653505"/>
    <n v="0.46140504391542903"/>
    <n v="0.65290878680005504"/>
    <n v="0.71355428502563401"/>
    <n v="0.53798037631562501"/>
    <n v="0.52637905089283699"/>
    <n v="0.54651011630329505"/>
    <n v="0.51020807529990697"/>
    <n v="0.53812157282578799"/>
    <n v="1.9254802424135471E-2"/>
    <n v="2.7817257341234032E-3"/>
    <n v="1.2856740168555049E-2"/>
    <n v="3.8671411948842174E-3"/>
    <n v="5.4446199390936938E-3"/>
    <n v="2.8790309943369655E-3"/>
    <n v="8.0925575451509437E-3"/>
    <n v="3.8496001422540197E-3"/>
  </r>
  <r>
    <x v="4"/>
    <s v="West Virginia"/>
    <n v="0.33404616825244599"/>
    <n v="6.8835548161744795E-2"/>
    <n v="0.416052285404789"/>
    <n v="0.35717911112068601"/>
    <n v="0.24778467470492899"/>
    <n v="0.22540311963436499"/>
    <n v="0.26721133576426598"/>
    <n v="0.205311941994369"/>
    <n v="0.24809938478149901"/>
    <n v="7.0336673008894235E-2"/>
    <n v="6.7250032504038073E-3"/>
    <n v="5.35133045745257E-4"/>
    <n v="7.4410452690483169E-3"/>
    <n v="1.180331201303071E-2"/>
    <n v="4.4668948337230818E-3"/>
    <n v="1.6572501010265757E-2"/>
    <n v="7.3868495890018438E-3"/>
  </r>
  <r>
    <x v="4"/>
    <s v="Wisconsin"/>
    <n v="0.72544289929550698"/>
    <n v="0.634102135815514"/>
    <n v="0.76333113329674196"/>
    <n v="0.82421211563888697"/>
    <n v="0.66049981275056202"/>
    <n v="0.65577178251885904"/>
    <n v="0.49999995830544303"/>
    <n v="0.62027025681016501"/>
    <n v="0.67747812824269504"/>
    <n v="8.3431350731080194E-3"/>
    <n v="1.4355182757323382E-3"/>
    <n v="9.7553580970853992E-3"/>
    <n v="4.217604489984211E-3"/>
    <n v="4.8540645129053145E-3"/>
    <n v="5.0824519642249461E-2"/>
    <n v="1.1061284727349558E-2"/>
    <n v="2.3006192621486659E-3"/>
  </r>
  <r>
    <x v="4"/>
    <s v="Wyoming"/>
    <n v="0.26229508197766399"/>
    <n v="-7.3675339988476998E-3"/>
    <n v="0.43129283730971002"/>
    <n v="0.25498413178057"/>
    <n v="0.21951906887009401"/>
    <n v="0.14290257110193599"/>
    <n v="0.19659613214805399"/>
    <n v="8.9463869856306499E-2"/>
    <n v="0.21951689352739001"/>
    <n v="7.2717926455295623E-2"/>
    <n v="2.8560241307270091E-2"/>
    <n v="5.3449992784388657E-5"/>
    <n v="1.8297872973789988E-3"/>
    <n v="1.4254571653210828E-2"/>
    <n v="4.3163520087136113E-3"/>
    <n v="2.9870627883337667E-2"/>
    <n v="1.8299734070871541E-3"/>
  </r>
  <r>
    <x v="5"/>
    <s v="Alabama"/>
    <n v="0.80663066640211101"/>
    <n v="0.69007752704312397"/>
    <n v="0.75855102790274698"/>
    <n v="0.81206840930345403"/>
    <n v="0.64047157851457603"/>
    <n v="0.69558720142320796"/>
    <n v="0.49999988421942898"/>
    <n v="0.73079349449118303"/>
    <n v="0.77767904196045801"/>
    <n v="1.3584634294435453E-2"/>
    <n v="2.3116516382295279E-3"/>
    <n v="2.9569047861106443E-5"/>
    <n v="2.7608842487617573E-2"/>
    <n v="1.2330651114520868E-2"/>
    <n v="9.4022436581963395E-2"/>
    <n v="5.7512766434476437E-3"/>
    <n v="8.3819655781051949E-4"/>
  </r>
  <r>
    <x v="5"/>
    <s v="Alaska"/>
    <n v="0.78376205782045705"/>
    <n v="0.66219961075104605"/>
    <n v="0.743718685708192"/>
    <n v="0.79920446231622699"/>
    <n v="0.62401230864127999"/>
    <n v="0.66745742873313796"/>
    <n v="0.67470434919951106"/>
    <n v="0.70117715360444199"/>
    <n v="3.5981371317089099"/>
    <n v="1.477742853750335E-2"/>
    <n v="1.6034716501213265E-3"/>
    <n v="2.3846785661097583E-4"/>
    <n v="2.551998236280998E-2"/>
    <n v="1.3526766747138869E-2"/>
    <n v="1.1893583809651158E-2"/>
    <n v="6.820266404368381E-3"/>
    <n v="7.920707056524634"/>
  </r>
  <r>
    <x v="5"/>
    <s v="Arizona"/>
    <n v="0.85770662316644397"/>
    <n v="0.75446446972938896"/>
    <n v="0.805755747996032"/>
    <n v="0.85739411734595306"/>
    <n v="0.70247094936557397"/>
    <n v="0.72417614443592804"/>
    <n v="0.49999999597676098"/>
    <n v="0.74547865739886199"/>
    <n v="73198.748201621303"/>
    <n v="1.065894224632041E-2"/>
    <n v="2.698893430971727E-3"/>
    <n v="9.7659887840700558E-8"/>
    <n v="2.4098114420410117E-2"/>
    <n v="1.7830388750000769E-2"/>
    <n v="0.12795403113541887"/>
    <n v="1.2595116300329553E-2"/>
    <n v="5357931172.9177389"/>
  </r>
  <r>
    <x v="5"/>
    <s v="Arkansas"/>
    <n v="0.86360403079970005"/>
    <n v="0.75459395378444305"/>
    <n v="0.81656900728267101"/>
    <n v="0.86435936317710504"/>
    <n v="0.72450142893993197"/>
    <n v="0.77223763439757098"/>
    <n v="0.49999998012549202"/>
    <n v="0.80034585743603504"/>
    <n v="0.80501701712862705"/>
    <n v="1.1883196890872263E-2"/>
    <n v="2.2122934372474749E-3"/>
    <n v="5.7052700035627972E-7"/>
    <n v="1.9349533844157156E-2"/>
    <n v="8.3478183915109833E-3"/>
    <n v="0.13220790566669205"/>
    <n v="4.0015964973074978E-3"/>
    <n v="3.4324381708944942E-3"/>
  </r>
  <r>
    <x v="5"/>
    <s v="California"/>
    <n v="0.84639357256651904"/>
    <n v="0.74053171019767905"/>
    <n v="0.81293232042097097"/>
    <n v="0.86649450210148804"/>
    <n v="0.71767520546897801"/>
    <n v="0.73457995993382297"/>
    <n v="0.49999989824611901"/>
    <n v="0.74242535803752496"/>
    <n v="6.2842581676625797E+28"/>
    <n v="1.1206733904199221E-2"/>
    <n v="1.1196553951479454E-3"/>
    <n v="4.0404736816978919E-4"/>
    <n v="1.6568418028257332E-2"/>
    <n v="1.2502283969974611E-2"/>
    <n v="0.11998857760918737"/>
    <n v="1.0809389632346934E-2"/>
    <n v="3.9491900717833847E+57"/>
  </r>
  <r>
    <x v="5"/>
    <s v="Colorado"/>
    <n v="0.811148911039415"/>
    <n v="0.71224611793125603"/>
    <n v="0.79301458525333501"/>
    <n v="0.847686151800359"/>
    <n v="0.689496910930117"/>
    <n v="0.70829484064777704"/>
    <n v="0.499999633177936"/>
    <n v="0.72356970882654403"/>
    <n v="333851.03183841001"/>
    <n v="9.7817624845952973E-3"/>
    <n v="3.2885377171568549E-4"/>
    <n v="1.3349699624231877E-3"/>
    <n v="1.479920913059264E-2"/>
    <n v="1.0578959796128017E-2"/>
    <n v="9.6813873113719862E-2"/>
    <n v="7.670116660242943E-3"/>
    <n v="111455969854.42719"/>
  </r>
  <r>
    <x v="5"/>
    <s v="Connecticut"/>
    <n v="0.78694251831279105"/>
    <n v="0.69648402258355702"/>
    <n v="0.78328540870336605"/>
    <n v="0.83995922618419405"/>
    <n v="0.67894143245049499"/>
    <n v="0.69151869590944903"/>
    <n v="0.49999986990219603"/>
    <n v="0.69672511955216598"/>
    <n v="2.5193163115885501E+17"/>
    <n v="8.1827394495958515E-3"/>
    <n v="1.3374450695348691E-5"/>
    <n v="2.8107713135216848E-3"/>
    <n v="1.1664234547435048E-2"/>
    <n v="9.1057058820645572E-3"/>
    <n v="8.2336083476886354E-2"/>
    <n v="8.1391790391336337E-3"/>
    <n v="6.3469546778361364E+34"/>
  </r>
  <r>
    <x v="5"/>
    <s v="Delaware"/>
    <n v="0.79901837405491904"/>
    <n v="0.67890000926762395"/>
    <n v="0.77434809500037904"/>
    <n v="0.83324993211450404"/>
    <n v="0.66941597415028598"/>
    <n v="0.67449660257456101"/>
    <n v="0.49999959077589501"/>
    <n v="0.67438162826122805"/>
    <n v="5.07204473595388E+73"/>
    <n v="1.4428421559173694E-2"/>
    <n v="6.086226686288751E-4"/>
    <n v="1.1717995671867386E-3"/>
    <n v="1.6796782061040433E-2"/>
    <n v="1.5505671572606508E-2"/>
    <n v="8.9412232753667942E-2"/>
    <n v="1.553431840204115E-2"/>
    <n v="2.5725637803517466E+147"/>
  </r>
  <r>
    <x v="5"/>
    <s v="District of Columbia"/>
    <n v="0.88079470204508503"/>
    <n v="0.85178177239636499"/>
    <n v="0.97461643223132099"/>
    <n v="0.96333834285388797"/>
    <n v="0.90596417369660898"/>
    <n v="0.88804975627901905"/>
    <n v="0.49999985534969899"/>
    <n v="0.86991217553623301"/>
    <n v="0.90597638583979501"/>
    <n v="8.4175008680157845E-4"/>
    <n v="8.8025170551388598E-3"/>
    <n v="6.8134526379726784E-3"/>
    <n v="6.335023032168675E-4"/>
    <n v="5.2635811937323975E-5"/>
    <n v="0.14500471526976255"/>
    <n v="1.1842938321586693E-4"/>
    <n v="6.3411719873675894E-4"/>
  </r>
  <r>
    <x v="5"/>
    <s v="Florida"/>
    <n v="0.82697642384993997"/>
    <n v="0.69538648316079599"/>
    <n v="0.78134173917705396"/>
    <n v="0.83304981316756399"/>
    <n v="0.66620445695124098"/>
    <n v="0.67995483889173802"/>
    <n v="0.49999962744141702"/>
    <n v="0.69639679431719204"/>
    <n v="185573919424.65701"/>
    <n v="1.7315912490572429E-2"/>
    <n v="2.082524445193737E-3"/>
    <n v="3.688605780342959E-5"/>
    <n v="2.5847625340476365E-2"/>
    <n v="2.1615346443621793E-2"/>
    <n v="0.10691382538958066"/>
    <n v="1.7051039648909697E-2"/>
    <n v="3.4437679570322165E+22"/>
  </r>
  <r>
    <x v="5"/>
    <s v="Georgia"/>
    <n v="0.83166644243838395"/>
    <n v="0.72610018541843202"/>
    <n v="0.78668604606812997"/>
    <n v="0.83824471601103601"/>
    <n v="0.67844553036109201"/>
    <n v="0.73573946888847297"/>
    <n v="0.49999995560639898"/>
    <n v="0.76994389333068003"/>
    <n v="0.771341077139714"/>
    <n v="1.1144234621202549E-2"/>
    <n v="2.0232360576251567E-3"/>
    <n v="4.3273683196652501E-5"/>
    <n v="2.3476647897797225E-2"/>
    <n v="9.2019842544453206E-3"/>
    <n v="0.11000265848747126"/>
    <n v="3.8096730683529214E-3"/>
    <n v="3.6391496984179714E-3"/>
  </r>
  <r>
    <x v="5"/>
    <s v="Hawaii"/>
    <n v="0.80552407926896497"/>
    <n v="0.75687980567260904"/>
    <n v="0.94775248895660202"/>
    <n v="0.91285131982232404"/>
    <n v="0.808782816035298"/>
    <n v="0.83589991540494502"/>
    <n v="0.49999957860574001"/>
    <n v="0.85457494297068104"/>
    <n v="0.91379478625442501"/>
    <n v="2.36626535371713E-3"/>
    <n v="2.0228920522274332E-2"/>
    <n v="1.1519136564798605E-2"/>
    <n v="1.0619365312250698E-5"/>
    <n v="9.2269142095991136E-4"/>
    <n v="9.3345220505512944E-2"/>
    <n v="2.4059872298843273E-3"/>
    <n v="1.1722545991131346E-2"/>
  </r>
  <r>
    <x v="5"/>
    <s v="Idaho"/>
    <n v="0.832639193263226"/>
    <n v="0.70060499776914698"/>
    <n v="0.76792642294160496"/>
    <n v="0.82586498240258399"/>
    <n v="0.65529640410015999"/>
    <n v="0.69175367260121101"/>
    <n v="0.49999998752599101"/>
    <n v="0.71992492482291803"/>
    <n v="9.2866397770196993"/>
    <n v="1.7433028779768676E-2"/>
    <n v="4.1877426426988763E-3"/>
    <n v="4.5889932784440089E-5"/>
    <n v="3.1450464868135679E-2"/>
    <n v="1.984872993220705E-2"/>
    <n v="0.11064884119349855"/>
    <n v="1.2704506310033803E-2"/>
    <n v="71.470125870154789"/>
  </r>
  <r>
    <x v="5"/>
    <s v="Illinois"/>
    <n v="0.80034892734430496"/>
    <n v="0.71509082154459103"/>
    <n v="0.80744784563343497"/>
    <n v="0.86707300046599201"/>
    <n v="0.71477480316023301"/>
    <n v="0.69370639436673298"/>
    <n v="0.49999983970699902"/>
    <n v="0.67101897616253903"/>
    <s v="inf"/>
    <n v="7.2689446045552152E-3"/>
    <n v="5.0394640875744508E-5"/>
    <n v="4.452101933948239E-3"/>
    <n v="7.3229307298709684E-3"/>
    <n v="1.1372629839872528E-2"/>
    <n v="9.0209574444562082E-2"/>
    <n v="1.6726236272677959E-2"/>
    <e v="#VALUE!"/>
  </r>
  <r>
    <x v="5"/>
    <s v="Indiana"/>
    <n v="0.77642355652727901"/>
    <n v="0.662810349073927"/>
    <n v="0.75912148375689703"/>
    <n v="0.81052724611927596"/>
    <n v="0.63817835388769595"/>
    <n v="0.67707275021560098"/>
    <n v="0.49999969004993999"/>
    <n v="0.69910654120215399"/>
    <n v="3.9260325607695998"/>
    <n v="1.2907960907838403E-2"/>
    <n v="2.9936172215159362E-4"/>
    <n v="1.1630616437872806E-3"/>
    <n v="1.9111736052859384E-2"/>
    <n v="9.8705827147805639E-3"/>
    <n v="7.6410153958281754E-2"/>
    <n v="5.9779208587856184E-3"/>
    <n v="9.9200368796043055"/>
  </r>
  <r>
    <x v="5"/>
    <s v="Iowa"/>
    <n v="0.80560088032933297"/>
    <n v="0.70477130343868399"/>
    <n v="0.79165776057502901"/>
    <n v="0.85234440820908297"/>
    <n v="0.69479135300704298"/>
    <n v="0.67789240375790505"/>
    <n v="0.49999997785959399"/>
    <n v="0.66794496338888598"/>
    <n v="3.1793349336746602E+261"/>
    <n v="1.0166603575947293E-2"/>
    <n v="1.9441058848286121E-4"/>
    <n v="2.1849573986449655E-3"/>
    <n v="1.2278751345389333E-2"/>
    <n v="1.6309454988194954E-2"/>
    <n v="9.3391911590318913E-2"/>
    <n v="1.8949151468715241E-2"/>
    <e v="#NUM!"/>
  </r>
  <r>
    <x v="5"/>
    <s v="Kansas"/>
    <n v="0.79136838852637104"/>
    <n v="0.66587777124273995"/>
    <n v="0.74392659054106403"/>
    <n v="0.80008646130984695"/>
    <n v="0.62360604396918096"/>
    <n v="0.67827135860718701"/>
    <n v="0.49999992220163902"/>
    <n v="0.70842638075472797"/>
    <n v="0.68963927814380399"/>
    <n v="1.5747895026226769E-2"/>
    <n v="2.2507241960786802E-3"/>
    <n v="7.6004793057983514E-5"/>
    <n v="2.8144204251325362E-2"/>
    <n v="1.2790938176540806E-2"/>
    <n v="8.4895583168426492E-2"/>
    <n v="6.8793766531912992E-3"/>
    <n v="1.0348811899228511E-2"/>
  </r>
  <r>
    <x v="5"/>
    <s v="Kentucky"/>
    <n v="0.87209563324540296"/>
    <n v="0.71367143091263696"/>
    <n v="0.865835378670613"/>
    <n v="0.88087394852613199"/>
    <n v="0.74254970624056005"/>
    <n v="0.72474092053008099"/>
    <n v="0.49999982484567801"/>
    <n v="0.69530551382318595"/>
    <n v="0.74278858564642702"/>
    <n v="2.5098227884773179E-2"/>
    <n v="3.9190787341178605E-5"/>
    <n v="7.7058819167880833E-5"/>
    <n v="1.6782147203544089E-2"/>
    <n v="2.1713411359415069E-2"/>
    <n v="0.13845529062864481"/>
    <n v="3.1254746325321749E-2"/>
    <n v="1.6720312558763828E-2"/>
  </r>
  <r>
    <x v="5"/>
    <s v="Louisiana"/>
    <n v="0.81309640582538001"/>
    <n v="0.66903780626424603"/>
    <n v="0.80709676082505299"/>
    <n v="0.83234459716680798"/>
    <n v="0.67030350717367504"/>
    <n v="0.70387594555692701"/>
    <n v="0.499999990455264"/>
    <n v="0.72398403281002799"/>
    <n v="0.70839497376079696"/>
    <n v="2.0752880107515151E-2"/>
    <n v="3.5995740129948936E-5"/>
    <n v="3.7049286991622254E-4"/>
    <n v="2.0389811905356086E-2"/>
    <n v="1.1929108941252721E-2"/>
    <n v="9.8029365317616218E-2"/>
    <n v="7.9410150244272389E-3"/>
    <n v="1.0962389876374498E-2"/>
  </r>
  <r>
    <x v="5"/>
    <s v="Maine"/>
    <n v="0.76509443438818503"/>
    <n v="0.67168173605063197"/>
    <n v="0.76734640330470605"/>
    <n v="0.82405881617340704"/>
    <n v="0.65642746445660904"/>
    <n v="0.67862775602091097"/>
    <n v="0.49999989285681101"/>
    <n v="0.68909994697944399"/>
    <n v="21343470.063131601"/>
    <n v="8.7259322107026884E-3"/>
    <n v="5.0713640009768519E-6"/>
    <n v="3.4767983193134209E-3"/>
    <n v="1.1808510354110039E-2"/>
    <n v="7.4764864678696207E-3"/>
    <n v="7.0275115949729378E-2"/>
    <n v="5.7751621165173005E-3"/>
    <n v="455543681676255.19"/>
  </r>
  <r>
    <x v="5"/>
    <s v="Maryland"/>
    <n v="0.83847747418010798"/>
    <n v="0.77427410285770104"/>
    <n v="0.84985955257537305"/>
    <n v="0.89877967803810799"/>
    <n v="0.77138521376921898"/>
    <n v="0.74333920401211395"/>
    <n v="0.49999999224151997"/>
    <n v="0.72208812885247997"/>
    <s v="inf"/>
    <n v="4.1220728891628667E-3"/>
    <n v="1.2955170859595965E-4"/>
    <n v="3.6363557901317903E-3"/>
    <n v="4.5013714070425443E-3"/>
    <n v="9.0512904505582227E-3"/>
    <n v="0.11456700577948717"/>
    <n v="1.3546479705793845E-2"/>
    <e v="#VALUE!"/>
  </r>
  <r>
    <x v="5"/>
    <s v="Massachusetts"/>
    <n v="0.807525725267213"/>
    <n v="0.76003797583602695"/>
    <n v="0.91547308847015796"/>
    <n v="0.91403675429852504"/>
    <n v="0.80110637377807503"/>
    <n v="0.76031153759615999"/>
    <n v="0.499999763930848"/>
    <n v="0.71478847605782703"/>
    <n v="0.80118802093817199"/>
    <n v="2.2550863460391113E-3"/>
    <n v="1.1652633222468515E-2"/>
    <n v="1.1344599305308997E-2"/>
    <n v="4.1208073541097869E-5"/>
    <n v="2.2291795174374141E-3"/>
    <n v="9.457221689585546E-2"/>
    <n v="8.600197390923759E-3"/>
    <n v="4.016649616234524E-5"/>
  </r>
  <r>
    <x v="5"/>
    <s v="Michigan"/>
    <n v="0.75581271311360299"/>
    <n v="0.648905511504691"/>
    <n v="0.75528722299949402"/>
    <n v="0.81753144593615401"/>
    <n v="0.64639465840127797"/>
    <n v="0.62111638536101099"/>
    <n v="0.63436310861757494"/>
    <n v="0.608227836095251"/>
    <s v="inf"/>
    <n v="1.1429149755848553E-2"/>
    <n v="2.7613986002624977E-7"/>
    <n v="3.8092019812214373E-3"/>
    <n v="1.1972310697029351E-2"/>
    <n v="1.8143100710033683E-2"/>
    <n v="1.4750006432241634E-2"/>
    <n v="2.1781295924522083E-2"/>
    <e v="#VALUE!"/>
  </r>
  <r>
    <x v="5"/>
    <s v="Minnesota"/>
    <n v="0.81764263428560102"/>
    <n v="0.72043717410536101"/>
    <n v="0.81837166329449795"/>
    <n v="0.87445082867978097"/>
    <n v="0.72903408442574802"/>
    <n v="0.71961338602387703"/>
    <n v="0.49999962865348901"/>
    <n v="0.69616876748617695"/>
    <s v="inf"/>
    <n v="9.4489014888522269E-3"/>
    <n v="5.314832958132414E-7"/>
    <n v="3.2271709503269379E-3"/>
    <n v="7.851475108266056E-3"/>
    <n v="9.6097335147587153E-3"/>
    <n v="0.10089707902700194"/>
    <n v="1.4755900315204221E-2"/>
    <e v="#VALUE!"/>
  </r>
  <r>
    <x v="5"/>
    <s v="Mississippi"/>
    <n v="0.79795708100929297"/>
    <n v="0.66671925823830902"/>
    <n v="0.73542971699773196"/>
    <n v="0.78966004001954204"/>
    <n v="0.60912089754887999"/>
    <n v="0.66793852293939004"/>
    <n v="0.67463805903827301"/>
    <n v="0.70556114723769303"/>
    <n v="0.78944229049049497"/>
    <n v="1.7223366125668192E-2"/>
    <n v="3.9096712502342543E-3"/>
    <n v="6.884088918560702E-5"/>
    <n v="3.5659104183894751E-2"/>
    <n v="1.690482544257672E-2"/>
    <n v="1.5207581179888904E-2"/>
    <n v="8.5370085775258817E-3"/>
    <n v="7.2501657579012295E-5"/>
  </r>
  <r>
    <x v="5"/>
    <s v="Missouri"/>
    <n v="0.81025343897326296"/>
    <n v="0.70760897637340003"/>
    <n v="0.77804061052614604"/>
    <n v="0.83311285623069498"/>
    <n v="0.67436674207075198"/>
    <n v="0.69837009655859195"/>
    <n v="0.49999990660604299"/>
    <n v="0.71888231498270205"/>
    <n v="85.334131264611599"/>
    <n v="1.0535885702414659E-2"/>
    <n v="1.0376663165633856E-3"/>
    <n v="5.2255295734938056E-4"/>
    <n v="1.8465194395074887E-2"/>
    <n v="1.2517882309878523E-2"/>
    <n v="9.6257254346337612E-2"/>
    <n v="8.3486822992984554E-3"/>
    <n v="7144.2859226834362"/>
  </r>
  <r>
    <x v="5"/>
    <s v="Montana"/>
    <n v="0.76278409086020005"/>
    <n v="0.62471856879370002"/>
    <n v="0.70682309090709505"/>
    <n v="0.76203917652410302"/>
    <n v="0.57493242773304598"/>
    <n v="0.62288264200631405"/>
    <n v="0.63188149556371997"/>
    <n v="0.66208314983729499"/>
    <n v="1.28464644923001"/>
    <n v="1.9062088383495206E-2"/>
    <n v="3.1316335157514173E-3"/>
    <n v="5.5489736812287077E-7"/>
    <n v="3.5288247339637778E-2"/>
    <n v="1.9572415391416482E-2"/>
    <n v="1.7135489455354046E-2"/>
    <n v="1.0140679522898603E-2"/>
    <n v="0.27234032108329997"/>
  </r>
  <r>
    <x v="5"/>
    <s v="Nebraska"/>
    <n v="0.82163978493661505"/>
    <n v="0.714648696309099"/>
    <n v="0.79782369768484596"/>
    <n v="0.84889384342534902"/>
    <n v="0.69053413232545202"/>
    <n v="0.72544897306446898"/>
    <n v="0.49999985908269001"/>
    <n v="0.73327144269491895"/>
    <n v="2412666.5465620998"/>
    <n v="1.1447093045700995E-2"/>
    <n v="5.6720601198387819E-4"/>
    <n v="7.4278370410733202E-4"/>
    <n v="1.7188692146598957E-2"/>
    <n v="9.2526722886225963E-3"/>
    <n v="0.10345224190331839"/>
    <n v="7.8089639105455308E-3"/>
    <n v="5820955900214.9189"/>
  </r>
  <r>
    <x v="5"/>
    <s v="Nevada"/>
    <n v="0.80625424879894503"/>
    <n v="0.72900067974691996"/>
    <n v="0.81732256711488604"/>
    <n v="0.87732270620809105"/>
    <n v="0.73111522537473705"/>
    <n v="0.67529654739834"/>
    <n v="0.49999992730617399"/>
    <n v="0.64673072148718502"/>
    <s v="inf"/>
    <n v="5.9681139312760057E-3"/>
    <n v="1.2250767034299538E-4"/>
    <n v="5.0507256385156022E-3"/>
    <n v="5.6458728411436744E-3"/>
    <n v="1.714991955613003E-2"/>
    <n v="9.3791709432997569E-2"/>
    <n v="2.544775576598584E-2"/>
    <e v="#VALUE!"/>
  </r>
  <r>
    <x v="5"/>
    <s v="New Hampshire"/>
    <n v="0.77894971953583203"/>
    <n v="0.68472526919849597"/>
    <n v="0.78689477611754499"/>
    <n v="0.84654949321026396"/>
    <n v="0.68648910628778603"/>
    <n v="0.66607908376640701"/>
    <n v="0.49999990348560502"/>
    <n v="0.64984585211175205"/>
    <s v="inf"/>
    <n v="8.8782470413731104E-3"/>
    <n v="6.3123924086620441E-5"/>
    <n v="4.5697294008344201E-3"/>
    <n v="8.5489650022047385E-3"/>
    <n v="1.2739780418994207E-2"/>
    <n v="7.7812999874455488E-2"/>
    <n v="1.6667808583854419E-2"/>
    <e v="#VALUE!"/>
  </r>
  <r>
    <x v="5"/>
    <s v="New Jersey"/>
    <n v="0.78389835640356298"/>
    <n v="0.69967596600292503"/>
    <n v="0.79916103882768696"/>
    <n v="0.854034815229057"/>
    <n v="0.69911800132940805"/>
    <n v="0.70705288401583"/>
    <n v="0.49999981786153602"/>
    <n v="0.704937264790929"/>
    <s v="inf"/>
    <n v="7.0934110447974713E-3"/>
    <n v="2.3294947477966321E-4"/>
    <n v="4.9191228565802179E-3"/>
    <n v="7.187708606499788E-3"/>
    <n v="5.905226626493832E-3"/>
    <n v="8.0598380186298765E-2"/>
    <n v="6.2348539886587766E-3"/>
    <e v="#VALUE!"/>
  </r>
  <r>
    <x v="5"/>
    <s v="New Mexico"/>
    <n v="0.85370742897962804"/>
    <n v="0.73383320374043004"/>
    <n v="0.82848283866951999"/>
    <n v="0.86717780201601402"/>
    <n v="0.72421097780857402"/>
    <n v="0.733169202026279"/>
    <n v="0.499999919432005"/>
    <n v="0.72936550198099304"/>
    <s v="inf"/>
    <n v="1.4369829876697974E-2"/>
    <n v="6.3627995631279654E-4"/>
    <n v="1.814509497393946E-4"/>
    <n v="1.6769330865897176E-2"/>
    <n v="1.452946415705708E-2"/>
    <n v="0.12510900231038183"/>
    <n v="1.5460914809733875E-2"/>
    <e v="#VALUE!"/>
  </r>
  <r>
    <x v="5"/>
    <s v="New York"/>
    <n v="0.80233475927950704"/>
    <n v="0.75275859413845703"/>
    <n v="0.91825967956722898"/>
    <n v="0.90597082361581605"/>
    <n v="0.79161101716788995"/>
    <n v="0.80884144597452001"/>
    <n v="0.499999887798452"/>
    <n v="0.81340354670205695"/>
    <n v="0.810510709962728"/>
    <n v="2.4577961500926622E-3"/>
    <n v="1.3438587143714686E-2"/>
    <n v="1.074043383111958E-2"/>
    <n v="1.1499864487646966E-4"/>
    <n v="4.2336971747058874E-5"/>
    <n v="9.140637451346606E-2"/>
    <n v="1.2251805500559904E-4"/>
    <n v="6.6846169574461396E-5"/>
  </r>
  <r>
    <x v="5"/>
    <s v="North Carolina"/>
    <n v="0.82287464122109599"/>
    <n v="0.72062136211935002"/>
    <n v="0.79012852356360896"/>
    <n v="0.84325285104613901"/>
    <n v="0.68268332050162195"/>
    <n v="0.73171056290096603"/>
    <n v="0.49999995633442901"/>
    <n v="0.75763585668891897"/>
    <n v="0.74139687061323201"/>
    <n v="1.0455733087059561E-2"/>
    <n v="1.0723082216379837E-3"/>
    <n v="4.1527143567347965E-4"/>
    <n v="1.9653606405070433E-2"/>
    <n v="8.3108891759587893E-3"/>
    <n v="0.1042480621406645"/>
    <n v="4.2560990072358197E-3"/>
    <n v="6.6386271032277044E-3"/>
  </r>
  <r>
    <x v="5"/>
    <s v="North Dakota"/>
    <n v="0.5"/>
    <n v="0.83994081177608804"/>
    <n v="0.98914510645929599"/>
    <n v="0.86062921997665398"/>
    <n v="0.70643830419179798"/>
    <n v="0.752927702217291"/>
    <n v="0.75640855112539995"/>
    <n v="0.78576132381692099"/>
    <n v="2.2857637521570601E+104"/>
    <n v="0.11555975551098571"/>
    <n v="0.23926293517307601"/>
    <n v="0.13005343430096988"/>
    <n v="4.2616773437585319E-2"/>
    <n v="6.3972422548918634E-2"/>
    <n v="6.5745345090226837E-2"/>
    <n v="8.1659534189599176E-2"/>
    <n v="5.2247159306751221E+208"/>
  </r>
  <r>
    <x v="5"/>
    <s v="Ohio"/>
    <n v="0.78676528992828998"/>
    <n v="0.67556109353500005"/>
    <n v="0.76925322173994903"/>
    <n v="0.829925735873697"/>
    <n v="0.65823947287323104"/>
    <n v="0.66493341449041898"/>
    <n v="0.49999954361689503"/>
    <n v="0.669733104075659"/>
    <n v="2.7927044415126598E+25"/>
    <n v="1.2366373295477398E-2"/>
    <n v="3.0667253223310293E-4"/>
    <n v="1.8628240942064015E-3"/>
    <n v="1.6518885649670481E-2"/>
    <n v="1.4843005872708913E-2"/>
    <n v="8.2234593257531324E-2"/>
    <n v="1.3696532525444758E-2"/>
    <n v="7.799198097644538E+50"/>
  </r>
  <r>
    <x v="5"/>
    <s v="Oklahoma"/>
    <n v="0.80967387870441998"/>
    <n v="0.68269877433702297"/>
    <n v="0.75629519278130197"/>
    <n v="0.80844943154023996"/>
    <n v="0.63639195661812697"/>
    <n v="0.69681724764029396"/>
    <n v="0.49999962146988097"/>
    <n v="0.73768321176762197"/>
    <n v="0.83153308961832995"/>
    <n v="1.6122677129111362E-2"/>
    <n v="2.8492841108788765E-3"/>
    <n v="1.4992708578684936E-6"/>
    <n v="3.002662452192012E-2"/>
    <n v="1.2736619175144254E-2"/>
    <n v="9.5898145593763431E-2"/>
    <n v="5.1826561260049824E-3"/>
    <n v="4.7782510177880053E-4"/>
  </r>
  <r>
    <x v="5"/>
    <s v="Oregon"/>
    <n v="0.91319767253975903"/>
    <n v="0.75387770695077705"/>
    <n v="0.88601500302321401"/>
    <n v="0.91380566051272305"/>
    <n v="0.80055215576485905"/>
    <n v="0.73970691736144001"/>
    <n v="0.49999994657796898"/>
    <n v="0.683388776263259"/>
    <n v="0.80098824806526303"/>
    <n v="2.5382851435274401E-2"/>
    <n v="7.38897522045706E-4"/>
    <n v="3.6964937526889695E-7"/>
    <n v="1.2689012449484272E-2"/>
    <n v="3.0099042132343427E-2"/>
    <n v="0.17073236073999454"/>
    <n v="5.2812128807823149E-2"/>
    <n v="1.2590954940897622E-2"/>
  </r>
  <r>
    <x v="5"/>
    <s v="Pennsylvania"/>
    <n v="0.77859796560905803"/>
    <n v="0.72505661476412697"/>
    <n v="0.91947364344899396"/>
    <n v="0.89096758448749303"/>
    <n v="0.76760920578077596"/>
    <n v="0.80591352506802705"/>
    <n v="0.49999994269299702"/>
    <n v="0.82801235511765203"/>
    <n v="0.81443139140935195"/>
    <n v="2.8666762502999998E-3"/>
    <n v="1.9845956606861417E-2"/>
    <n v="1.2626931246884734E-2"/>
    <n v="1.2075284256366575E-4"/>
    <n v="7.4613978855647179E-4"/>
    <n v="7.761685837273806E-2"/>
    <n v="2.4417818905070449E-3"/>
    <n v="1.2840344045851697E-3"/>
  </r>
  <r>
    <x v="5"/>
    <s v="Rhode Island"/>
    <n v="0.79952593023414797"/>
    <n v="0.71959201269586504"/>
    <n v="0.795804154969183"/>
    <n v="0.85299155164336005"/>
    <n v="0.697449579880278"/>
    <n v="0.69493809626279501"/>
    <n v="0.49999974512790202"/>
    <n v="0.69889637004745198"/>
    <n v="8.8263872904244296E+18"/>
    <n v="6.3894311730170166E-3"/>
    <n v="1.3851611122905126E-5"/>
    <n v="2.8585726726731964E-3"/>
    <n v="1.0419581301566011E-2"/>
    <n v="1.0938615014819292E-2"/>
    <n v="8.9715935564301116E-2"/>
    <n v="1.0126308383367873E-2"/>
    <n v="7.7905112600565899E+37"/>
  </r>
  <r>
    <x v="5"/>
    <s v="South Carolina"/>
    <n v="0.80239967079129604"/>
    <n v="0.68808396292430096"/>
    <n v="0.74869885685750504"/>
    <n v="0.80247670656703296"/>
    <n v="0.62700965736681002"/>
    <n v="0.68402214069400902"/>
    <n v="0.49999973524474101"/>
    <n v="0.72108521049482599"/>
    <n v="2.1649470653493599"/>
    <n v="1.3068081065132161E-2"/>
    <n v="2.8837774171516419E-3"/>
    <n v="5.9345107433893738E-9"/>
    <n v="3.0761656809041384E-2"/>
    <n v="1.4013239631934094E-2"/>
    <n v="9.1445721018560633E-2"/>
    <n v="6.6120414533062041E-3"/>
    <n v="1.8565354024169678"/>
  </r>
  <r>
    <x v="5"/>
    <s v="South Dakota"/>
    <n v="0.75512665856404004"/>
    <n v="0.64145991577466399"/>
    <n v="0.74469160278473101"/>
    <n v="0.79807412103277897"/>
    <n v="0.61979832368139098"/>
    <n v="0.64712475388473401"/>
    <n v="0.65659065004735095"/>
    <n v="0.6629912191724"/>
    <n v="377085.997709997"/>
    <n v="1.2920128416346172E-2"/>
    <n v="1.0889038911729085E-4"/>
    <n v="1.8444845325037388E-3"/>
    <n v="1.8313758222110409E-2"/>
    <n v="1.1664411414357907E-2"/>
    <n v="9.7093449744010251E-3"/>
    <n v="8.4889391918905755E-3"/>
    <n v="142193280174.13522"/>
  </r>
  <r>
    <x v="5"/>
    <s v="Tennessee"/>
    <n v="0.81509928717311597"/>
    <n v="0.71440270128019201"/>
    <n v="0.77359203150696898"/>
    <n v="0.82492050064362799"/>
    <n v="0.65717549570700196"/>
    <n v="0.72424898465880705"/>
    <n v="0.49999983890008898"/>
    <n v="0.76290333788738296"/>
    <n v="0.79192233594802597"/>
    <n v="1.0139802410491013E-2"/>
    <n v="1.7228522729348915E-3"/>
    <n v="9.6456234033366633E-5"/>
    <n v="2.4939923911032665E-2"/>
    <n v="8.2537774669414459E-3"/>
    <n v="9.928766230196602E-2"/>
    <n v="2.7244171218388127E-3"/>
    <n v="5.3717106809020104E-4"/>
  </r>
  <r>
    <x v="5"/>
    <s v="Texas"/>
    <n v="0.864643251016874"/>
    <n v="0.74923064030242104"/>
    <n v="0.78833784186320299"/>
    <n v="0.840478348566157"/>
    <n v="0.67887633053950103"/>
    <n v="0.73505815797420204"/>
    <n v="0.49999984100828598"/>
    <n v="0.77025613993017295"/>
    <n v="2.0283866325259501"/>
    <n v="1.3320070711925864E-2"/>
    <n v="5.8225154661091395E-3"/>
    <n v="5.839425104526688E-4"/>
    <n v="3.4509348743646619E-2"/>
    <n v="1.6792296338877948E-2"/>
    <n v="0.13296481646269123"/>
    <n v="8.9089267392932457E-3"/>
    <n v="1.3542986580061791"/>
  </r>
  <r>
    <x v="5"/>
    <s v="Utah"/>
    <n v="0.87768668294748797"/>
    <n v="0.73765388872519799"/>
    <n v="0.80692484587126501"/>
    <n v="0.86059139077143298"/>
    <n v="0.70986321918882"/>
    <n v="0.73807782288652701"/>
    <n v="0.499999717924347"/>
    <n v="0.75615553651267897"/>
    <n v="157.73244871069599"/>
    <n v="1.9609183457702212E-2"/>
    <n v="5.007237586401923E-3"/>
    <n v="2.9224901458468688E-4"/>
    <n v="2.8164714987956942E-2"/>
    <n v="1.9490633807520981E-2"/>
    <n v="0.14264744354839132"/>
    <n v="1.4769819553758988E-2"/>
    <n v="24603.416370781615"/>
  </r>
  <r>
    <x v="5"/>
    <s v="Vermont"/>
    <n v="0.77568922307017496"/>
    <n v="0.73362327385276904"/>
    <n v="0.92445579019770097"/>
    <n v="0.90543460807628795"/>
    <n v="0.78513247884217896"/>
    <n v="0.76122545406899"/>
    <n v="0.499999966890739"/>
    <n v="0.73826651555678502"/>
    <n v="0.78514749093024805"/>
    <n v="1.7695440835613736E-3"/>
    <n v="2.21314914949087E-2"/>
    <n v="1.6833864930384489E-2"/>
    <n v="8.9175079575486865E-5"/>
    <n v="2.0920061371963887E-4"/>
    <n v="7.6004565972770666E-2"/>
    <n v="1.4004590376327319E-3"/>
    <n v="8.9458830912891562E-5"/>
  </r>
  <r>
    <x v="5"/>
    <s v="Virginia"/>
    <n v="0.84909902785732905"/>
    <n v="0.80346562404145305"/>
    <n v="0.96407400934643395"/>
    <n v="0.94054258919978095"/>
    <n v="0.86571405655202804"/>
    <n v="0.89370293529921396"/>
    <n v="0.499999883581764"/>
    <n v="0.90821301791596998"/>
    <n v="0.90148355854371298"/>
    <n v="2.0824075438228059E-3"/>
    <n v="1.3219246368420014E-2"/>
    <n v="8.3619249109907652E-3"/>
    <n v="2.7605917852567102E-4"/>
    <n v="1.9895085590842364E-3"/>
    <n v="0.12187021253393178"/>
    <n v="3.4944638206530986E-3"/>
    <n v="2.7441390552327E-3"/>
  </r>
  <r>
    <x v="5"/>
    <s v="Washington"/>
    <n v="0.89779172289404996"/>
    <n v="0.74135225458389498"/>
    <n v="0.88013386501073099"/>
    <n v="0.89282173745346005"/>
    <n v="0.76678576525937403"/>
    <n v="0.77311593164994696"/>
    <n v="0.499999792885018"/>
    <n v="0.76391151401173596"/>
    <n v="0.76694283534205399"/>
    <n v="2.4473307245163986E-2"/>
    <n v="3.1179994502748999E-4"/>
    <n v="2.4700755279675662E-5"/>
    <n v="1.7162560935778504E-2"/>
    <n v="1.5544052922343149E-2"/>
    <n v="0.15823841958031057"/>
    <n v="1.792391033037203E-2"/>
    <n v="1.7121431373594887E-2"/>
  </r>
  <r>
    <x v="5"/>
    <s v="West Virginia"/>
    <n v="0.81936831111546604"/>
    <n v="0.69918587338082006"/>
    <n v="0.787836182512481"/>
    <n v="0.84517762071002001"/>
    <n v="0.68371989175766501"/>
    <n v="0.68805739509183805"/>
    <n v="0.49999996743326303"/>
    <n v="0.70007874276738102"/>
    <n v="360.243358658288"/>
    <n v="1.444381833984206E-2"/>
    <n v="9.9427513423518761E-4"/>
    <n v="6.6612046174753536E-4"/>
    <n v="1.8400493674269849E-2"/>
    <n v="1.7242556666964282E-2"/>
    <n v="0.10199613894631374"/>
    <n v="1.4230001116672447E-2"/>
    <n v="129185.60483708438"/>
  </r>
  <r>
    <x v="5"/>
    <s v="Wisconsin"/>
    <n v="0.89448042360907298"/>
    <n v="0.69935212889429499"/>
    <n v="0.86828094509338505"/>
    <n v="0.88356674960983705"/>
    <n v="0.74655610674634498"/>
    <n v="0.72094041338539805"/>
    <n v="0.499999818578233"/>
    <n v="0.65344867860864297"/>
    <n v="0.74718403803191902"/>
    <n v="3.8075051398297255E-2"/>
    <n v="6.8641267449399371E-4"/>
    <n v="1.1910828016159835E-4"/>
    <n v="2.1881603519304755E-2"/>
    <n v="3.0116135148433202E-2"/>
    <n v="0.15561494774549758"/>
    <n v="5.8096302097952315E-2"/>
    <n v="2.169622520409361E-2"/>
  </r>
  <r>
    <x v="5"/>
    <s v="Wyoming"/>
    <n v="0.75310173699759497"/>
    <n v="0.64045171413056701"/>
    <n v="0.91353502713219104"/>
    <n v="0.85305365298177704"/>
    <n v="0.70952496052242997"/>
    <n v="0.765720609687499"/>
    <n v="0.49999982095394901"/>
    <n v="0.80390257616137395"/>
    <n v="1.1770481591739601"/>
    <n v="1.2690027651941924E-2"/>
    <n v="2.5738840583411478E-2"/>
    <n v="9.9903855089089923E-3"/>
    <n v="1.898935447966494E-3"/>
    <n v="1.5923594796400566E-4"/>
    <n v="6.4060579904964804E-2"/>
    <n v="2.5807252597441401E-3"/>
    <n v="0.17973056887614081"/>
  </r>
  <r>
    <x v="6"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3832DD-2618-1A4C-9600-A701E9A1C71B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E11" firstHeaderRow="0" firstDataRow="1" firstDataCol="1"/>
  <pivotFields count="19">
    <pivotField axis="axisRow"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showAll="0"/>
    <pivotField showAll="0"/>
  </pivotFields>
  <rowFields count="1">
    <field x="0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SSE_lea" fld="13" baseField="0" baseItem="0"/>
    <dataField name="Sum of SSE_exp" fld="14" baseField="0" baseItem="0"/>
    <dataField name="Sum of SSE_log" fld="16" baseField="0" baseItem="0"/>
    <dataField name="Sum of SSE_weibull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7A0AA-4D94-9745-88B9-21E64B19FD9F}">
  <dimension ref="A3:G23"/>
  <sheetViews>
    <sheetView tabSelected="1" workbookViewId="0">
      <selection activeCell="F19" sqref="F19:F22"/>
    </sheetView>
  </sheetViews>
  <sheetFormatPr baseColWidth="10" defaultRowHeight="16" x14ac:dyDescent="0.2"/>
  <cols>
    <col min="1" max="1" width="46.83203125" bestFit="1" customWidth="1"/>
    <col min="2" max="2" width="13.5" bestFit="1" customWidth="1"/>
    <col min="3" max="3" width="13.83203125" bestFit="1" customWidth="1"/>
    <col min="4" max="4" width="13.5" bestFit="1" customWidth="1"/>
    <col min="5" max="5" width="17" bestFit="1" customWidth="1"/>
  </cols>
  <sheetData>
    <row r="3" spans="1:5" x14ac:dyDescent="0.2">
      <c r="A3" s="2" t="s">
        <v>77</v>
      </c>
      <c r="B3" t="s">
        <v>83</v>
      </c>
      <c r="C3" t="s">
        <v>82</v>
      </c>
      <c r="D3" t="s">
        <v>81</v>
      </c>
      <c r="E3" t="s">
        <v>80</v>
      </c>
    </row>
    <row r="4" spans="1:5" x14ac:dyDescent="0.2">
      <c r="A4" s="3" t="s">
        <v>11</v>
      </c>
      <c r="B4" s="4">
        <v>0.51485085400099662</v>
      </c>
      <c r="C4" s="4">
        <v>2.1951621430119062</v>
      </c>
      <c r="D4" s="4">
        <v>1.7230112602853647</v>
      </c>
      <c r="E4" s="4">
        <v>2.1054203924689823</v>
      </c>
    </row>
    <row r="5" spans="1:5" x14ac:dyDescent="0.2">
      <c r="A5" s="3" t="s">
        <v>64</v>
      </c>
      <c r="B5" s="4">
        <v>2.0807659892769643</v>
      </c>
      <c r="C5" s="4">
        <v>2.3106380879634596</v>
      </c>
      <c r="D5" s="4">
        <v>2.5077569984086354</v>
      </c>
      <c r="E5" s="4">
        <v>2.9316067161686856</v>
      </c>
    </row>
    <row r="6" spans="1:5" x14ac:dyDescent="0.2">
      <c r="A6" s="3" t="s">
        <v>65</v>
      </c>
      <c r="B6" s="4">
        <v>10.168614256479389</v>
      </c>
      <c r="C6" s="4">
        <v>15.156721050414681</v>
      </c>
      <c r="D6" s="4">
        <v>12.169522695762275</v>
      </c>
      <c r="E6" s="4">
        <v>11.306810144531019</v>
      </c>
    </row>
    <row r="7" spans="1:5" x14ac:dyDescent="0.2">
      <c r="A7" s="3" t="s">
        <v>66</v>
      </c>
      <c r="B7" s="4">
        <v>0.53626375972858287</v>
      </c>
      <c r="C7" s="4">
        <v>1.1261455717657134</v>
      </c>
      <c r="D7" s="4">
        <v>1.0458488847613883</v>
      </c>
      <c r="E7" s="4">
        <v>0.89628053600174185</v>
      </c>
    </row>
    <row r="8" spans="1:5" x14ac:dyDescent="0.2">
      <c r="A8" s="3" t="s">
        <v>67</v>
      </c>
      <c r="B8" s="4">
        <v>0.51939002547640878</v>
      </c>
      <c r="C8" s="4">
        <v>0.78817728609715443</v>
      </c>
      <c r="D8" s="4">
        <v>1.7000403952506398</v>
      </c>
      <c r="E8" s="4">
        <v>0.7896595132380384</v>
      </c>
    </row>
    <row r="9" spans="1:5" x14ac:dyDescent="0.2">
      <c r="A9" s="3" t="s">
        <v>68</v>
      </c>
      <c r="B9" s="4">
        <v>0.2716950768530414</v>
      </c>
      <c r="C9" s="4">
        <v>0.85134001492849043</v>
      </c>
      <c r="D9" s="4">
        <v>4.8377994751366975</v>
      </c>
      <c r="E9" s="4">
        <v>0.66760185615733791</v>
      </c>
    </row>
    <row r="10" spans="1:5" x14ac:dyDescent="0.2">
      <c r="A10" s="3" t="s">
        <v>78</v>
      </c>
      <c r="B10" s="4"/>
      <c r="C10" s="4"/>
      <c r="D10" s="4"/>
      <c r="E10" s="4"/>
    </row>
    <row r="11" spans="1:5" x14ac:dyDescent="0.2">
      <c r="A11" s="3" t="s">
        <v>79</v>
      </c>
      <c r="B11" s="4">
        <v>14.091579961815381</v>
      </c>
      <c r="C11" s="4">
        <v>22.428184154181409</v>
      </c>
      <c r="D11" s="4">
        <v>23.983979709604998</v>
      </c>
      <c r="E11" s="4">
        <v>18.697379158565806</v>
      </c>
    </row>
    <row r="18" spans="1:7" x14ac:dyDescent="0.2">
      <c r="A18" s="5" t="s">
        <v>77</v>
      </c>
      <c r="B18" s="3" t="s">
        <v>11</v>
      </c>
      <c r="C18" s="3" t="s">
        <v>64</v>
      </c>
      <c r="D18" s="3" t="s">
        <v>65</v>
      </c>
      <c r="E18" s="3" t="s">
        <v>66</v>
      </c>
      <c r="F18" s="3" t="s">
        <v>67</v>
      </c>
      <c r="G18" s="3" t="s">
        <v>68</v>
      </c>
    </row>
    <row r="19" spans="1:7" x14ac:dyDescent="0.2">
      <c r="A19" s="5" t="s">
        <v>83</v>
      </c>
      <c r="B19" s="4">
        <v>0.51485085400099662</v>
      </c>
      <c r="C19" s="4">
        <v>2.0807659892769643</v>
      </c>
      <c r="D19" s="4">
        <v>10.168614256479389</v>
      </c>
      <c r="E19" s="4">
        <v>0.53626375972858287</v>
      </c>
      <c r="F19" s="4">
        <v>0.51939002547640878</v>
      </c>
      <c r="G19" s="4">
        <v>0.2716950768530414</v>
      </c>
    </row>
    <row r="20" spans="1:7" x14ac:dyDescent="0.2">
      <c r="A20" s="5" t="s">
        <v>82</v>
      </c>
      <c r="B20" s="4">
        <v>2.1951621430119062</v>
      </c>
      <c r="C20" s="4">
        <v>2.3106380879634596</v>
      </c>
      <c r="D20" s="4">
        <v>15.156721050414681</v>
      </c>
      <c r="E20" s="4">
        <v>1.1261455717657134</v>
      </c>
      <c r="F20" s="4">
        <v>0.78817728609715443</v>
      </c>
      <c r="G20" s="4">
        <v>0.85134001492849043</v>
      </c>
    </row>
    <row r="21" spans="1:7" x14ac:dyDescent="0.2">
      <c r="A21" s="5" t="s">
        <v>81</v>
      </c>
      <c r="B21" s="4">
        <v>1.7230112602853647</v>
      </c>
      <c r="C21" s="4">
        <v>2.5077569984086354</v>
      </c>
      <c r="D21" s="4">
        <v>12.169522695762275</v>
      </c>
      <c r="E21" s="4">
        <v>1.0458488847613883</v>
      </c>
      <c r="F21" s="4">
        <v>1.7000403952506398</v>
      </c>
      <c r="G21" s="4">
        <v>4.8377994751366975</v>
      </c>
    </row>
    <row r="22" spans="1:7" x14ac:dyDescent="0.2">
      <c r="A22" s="5" t="s">
        <v>80</v>
      </c>
      <c r="B22" s="4">
        <v>2.1054203924689823</v>
      </c>
      <c r="C22" s="4">
        <v>2.9316067161686856</v>
      </c>
      <c r="D22" s="4">
        <v>11.306810144531019</v>
      </c>
      <c r="E22" s="4">
        <v>0.89628053600174185</v>
      </c>
      <c r="F22" s="4">
        <v>0.7896595132380384</v>
      </c>
      <c r="G22" s="4">
        <v>0.66760185615733791</v>
      </c>
    </row>
    <row r="23" spans="1:7" x14ac:dyDescent="0.2">
      <c r="A23" s="5"/>
      <c r="B23" s="4"/>
      <c r="C23" s="4"/>
      <c r="D23" s="4"/>
      <c r="E23" s="4"/>
      <c r="F23" s="4"/>
      <c r="G23" s="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BDD2F5-8739-C74E-B947-5EB36B812456}">
  <dimension ref="A1:S305"/>
  <sheetViews>
    <sheetView workbookViewId="0">
      <selection sqref="A1:XFD1048576"/>
    </sheetView>
  </sheetViews>
  <sheetFormatPr baseColWidth="10" defaultRowHeight="16" x14ac:dyDescent="0.2"/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69</v>
      </c>
      <c r="M1" t="s">
        <v>70</v>
      </c>
      <c r="N1" t="s">
        <v>71</v>
      </c>
      <c r="O1" t="s">
        <v>72</v>
      </c>
      <c r="P1" t="s">
        <v>73</v>
      </c>
      <c r="Q1" t="s">
        <v>74</v>
      </c>
      <c r="R1" t="s">
        <v>75</v>
      </c>
      <c r="S1" t="s">
        <v>76</v>
      </c>
    </row>
    <row r="2" spans="1:19" x14ac:dyDescent="0.2">
      <c r="A2" t="s">
        <v>11</v>
      </c>
      <c r="B2" t="s">
        <v>12</v>
      </c>
      <c r="C2">
        <v>0.57285870250069004</v>
      </c>
      <c r="D2">
        <v>0.391501039793965</v>
      </c>
      <c r="E2">
        <v>2.4136494142717102</v>
      </c>
      <c r="F2">
        <v>0.47668060270023699</v>
      </c>
      <c r="G2">
        <v>0.295384272236701</v>
      </c>
      <c r="H2">
        <v>0.32389795740085398</v>
      </c>
      <c r="I2">
        <v>0.34310986135690802</v>
      </c>
      <c r="J2">
        <v>0.36957187295435601</v>
      </c>
      <c r="K2">
        <v>7589155604446.46</v>
      </c>
      <c r="L2">
        <f>(D2-$C2)^2</f>
        <v>3.2890601822446248E-2</v>
      </c>
      <c r="M2">
        <f>(E2-$C2)^2</f>
        <v>3.3885104445424585</v>
      </c>
      <c r="N2">
        <f t="shared" ref="M2:S2" si="0">(F2-$C2)^2</f>
        <v>9.2502268812259085E-3</v>
      </c>
      <c r="O2">
        <f t="shared" si="0"/>
        <v>7.699205945032532E-2</v>
      </c>
      <c r="P2">
        <f t="shared" si="0"/>
        <v>6.1981452600665551E-2</v>
      </c>
      <c r="Q2">
        <f>(I2-$C2)^2</f>
        <v>5.2784530006910788E-2</v>
      </c>
      <c r="R2">
        <f t="shared" si="0"/>
        <v>4.132553506700027E-2</v>
      </c>
      <c r="S2">
        <f t="shared" si="0"/>
        <v>5.7595282788492414E+25</v>
      </c>
    </row>
    <row r="3" spans="1:19" x14ac:dyDescent="0.2">
      <c r="A3" t="s">
        <v>11</v>
      </c>
      <c r="B3" t="s">
        <v>14</v>
      </c>
      <c r="C3">
        <v>0.42397660819251998</v>
      </c>
      <c r="D3">
        <v>0.15340434424812899</v>
      </c>
      <c r="E3">
        <v>0.33913287249489399</v>
      </c>
      <c r="F3">
        <v>0.38703357292874901</v>
      </c>
      <c r="G3">
        <v>0.214307957811949</v>
      </c>
      <c r="H3">
        <v>0.21644184661865401</v>
      </c>
      <c r="I3">
        <v>0.24817845541253999</v>
      </c>
      <c r="J3">
        <v>0.245807333273415</v>
      </c>
      <c r="K3">
        <v>1740.4157676683701</v>
      </c>
      <c r="L3">
        <f t="shared" ref="L3:L66" si="1">(D3-$C3)^2</f>
        <v>7.3209350015993185E-2</v>
      </c>
      <c r="M3">
        <f t="shared" ref="M3:M66" si="2">(E3-$C3)^2</f>
        <v>7.1984594871286143E-3</v>
      </c>
      <c r="N3">
        <f t="shared" ref="N3:N66" si="3">(F3-$C3)^2</f>
        <v>1.3647878545002248E-3</v>
      </c>
      <c r="O3">
        <f t="shared" ref="O3:O66" si="4">(G3-$C3)^2</f>
        <v>4.3960942952410105E-2</v>
      </c>
      <c r="P3">
        <f t="shared" ref="P3:P66" si="5">(H3-$C3)^2</f>
        <v>4.3070677261521396E-2</v>
      </c>
      <c r="Q3">
        <f t="shared" ref="Q3:Q66" si="6">(I3-$C3)^2</f>
        <v>3.0904990520853184E-2</v>
      </c>
      <c r="R3">
        <f t="shared" ref="R3:R66" si="7">(J3-$C3)^2</f>
        <v>3.1744290525199607E-2</v>
      </c>
      <c r="S3">
        <f t="shared" ref="S3:S66" si="8">(K3-$C3)^2</f>
        <v>3027571.4329568045</v>
      </c>
    </row>
    <row r="4" spans="1:19" x14ac:dyDescent="0.2">
      <c r="A4" t="s">
        <v>11</v>
      </c>
      <c r="B4" t="s">
        <v>15</v>
      </c>
      <c r="C4">
        <v>0.66874081755558201</v>
      </c>
      <c r="D4">
        <v>0.42703273739841602</v>
      </c>
      <c r="E4">
        <v>1.0728068189650199</v>
      </c>
      <c r="F4">
        <v>0.67987062761693096</v>
      </c>
      <c r="G4">
        <v>0.47300071109387498</v>
      </c>
      <c r="H4">
        <v>0.50595784099125596</v>
      </c>
      <c r="I4">
        <v>0.52304022839102804</v>
      </c>
      <c r="J4">
        <v>0.53603833772888299</v>
      </c>
      <c r="K4">
        <v>0.56311777416605602</v>
      </c>
      <c r="L4">
        <f t="shared" si="1"/>
        <v>5.842279601326298E-2</v>
      </c>
      <c r="M4">
        <f t="shared" si="2"/>
        <v>0.16326933349501191</v>
      </c>
      <c r="N4">
        <f t="shared" si="3"/>
        <v>1.2387267200170417E-4</v>
      </c>
      <c r="O4">
        <f t="shared" si="4"/>
        <v>3.8314189277640402E-2</v>
      </c>
      <c r="P4">
        <f t="shared" si="5"/>
        <v>2.6498297459141926E-2</v>
      </c>
      <c r="Q4">
        <f t="shared" si="6"/>
        <v>2.1228661682898144E-2</v>
      </c>
      <c r="R4">
        <f t="shared" si="7"/>
        <v>1.7609948152155462E-2</v>
      </c>
      <c r="S4">
        <f t="shared" si="8"/>
        <v>1.115622729486569E-2</v>
      </c>
    </row>
    <row r="5" spans="1:19" x14ac:dyDescent="0.2">
      <c r="A5" t="s">
        <v>11</v>
      </c>
      <c r="B5" t="s">
        <v>16</v>
      </c>
      <c r="C5">
        <v>0.50361133403025704</v>
      </c>
      <c r="D5">
        <v>0.132975956440923</v>
      </c>
      <c r="E5">
        <v>0.94664485862218595</v>
      </c>
      <c r="F5">
        <v>0.449942392237074</v>
      </c>
      <c r="G5">
        <v>0.36303084974225203</v>
      </c>
      <c r="H5">
        <v>5.9264399974609298E-2</v>
      </c>
      <c r="I5">
        <v>0.13153876521053301</v>
      </c>
      <c r="J5">
        <v>1.0701469093882299E-2</v>
      </c>
      <c r="K5">
        <v>0.36303099130187999</v>
      </c>
      <c r="L5">
        <f t="shared" si="1"/>
        <v>0.13737058312078823</v>
      </c>
      <c r="M5">
        <f t="shared" si="2"/>
        <v>0.19627870391234728</v>
      </c>
      <c r="N5">
        <f t="shared" si="3"/>
        <v>2.8803553132000699E-3</v>
      </c>
      <c r="O5">
        <f t="shared" si="4"/>
        <v>1.9762872562650025E-2</v>
      </c>
      <c r="P5">
        <f t="shared" si="5"/>
        <v>0.19744419780465416</v>
      </c>
      <c r="Q5">
        <f t="shared" si="6"/>
        <v>0.13843799646810831</v>
      </c>
      <c r="R5">
        <f t="shared" si="7"/>
        <v>0.24296013495159519</v>
      </c>
      <c r="S5">
        <f t="shared" si="8"/>
        <v>1.9762832761627953E-2</v>
      </c>
    </row>
    <row r="6" spans="1:19" x14ac:dyDescent="0.2">
      <c r="A6" t="s">
        <v>11</v>
      </c>
      <c r="B6" t="s">
        <v>17</v>
      </c>
      <c r="C6">
        <v>0.54741079560419903</v>
      </c>
      <c r="D6">
        <v>0.46188579598836899</v>
      </c>
      <c r="E6">
        <v>0.95751278641757698</v>
      </c>
      <c r="F6">
        <v>0.65508260741147994</v>
      </c>
      <c r="G6">
        <v>0.45639629573446799</v>
      </c>
      <c r="H6">
        <v>0.46246767892411</v>
      </c>
      <c r="I6">
        <v>0.47919332835170098</v>
      </c>
      <c r="J6">
        <v>0.50389910832303497</v>
      </c>
      <c r="K6">
        <v>86.1952392434426</v>
      </c>
      <c r="L6">
        <f>(D6-$C6)^2</f>
        <v>7.3145255592877295E-3</v>
      </c>
      <c r="M6">
        <f t="shared" si="2"/>
        <v>0.16818364286909593</v>
      </c>
      <c r="N6">
        <f t="shared" si="3"/>
        <v>1.1593219057862519E-2</v>
      </c>
      <c r="O6">
        <f t="shared" si="4"/>
        <v>8.2836391865372706E-3</v>
      </c>
      <c r="P6">
        <f t="shared" si="5"/>
        <v>7.2153330713272184E-3</v>
      </c>
      <c r="Q6">
        <f t="shared" si="6"/>
        <v>4.6536228383456443E-3</v>
      </c>
      <c r="R6">
        <f t="shared" si="7"/>
        <v>1.8932669300538139E-3</v>
      </c>
      <c r="S6">
        <f t="shared" si="8"/>
        <v>7335.5505178303583</v>
      </c>
    </row>
    <row r="7" spans="1:19" x14ac:dyDescent="0.2">
      <c r="A7" t="s">
        <v>11</v>
      </c>
      <c r="B7" t="s">
        <v>18</v>
      </c>
      <c r="C7">
        <v>0.37923874670187302</v>
      </c>
      <c r="D7">
        <v>0.26617097095834502</v>
      </c>
      <c r="E7">
        <v>0.67984501860354596</v>
      </c>
      <c r="F7">
        <v>0.50812482579221996</v>
      </c>
      <c r="G7">
        <v>0.26590140398921402</v>
      </c>
      <c r="H7">
        <v>0.37643460482081798</v>
      </c>
      <c r="I7">
        <v>0.39073105809976499</v>
      </c>
      <c r="J7">
        <v>0.45186317386915098</v>
      </c>
      <c r="K7">
        <v>0.55803278541059198</v>
      </c>
      <c r="L7">
        <f t="shared" si="1"/>
        <v>1.2784321911588738E-2</v>
      </c>
      <c r="M7">
        <f t="shared" si="2"/>
        <v>9.0364130706622525E-2</v>
      </c>
      <c r="N7">
        <f t="shared" si="3"/>
        <v>1.6611621383283166E-2</v>
      </c>
      <c r="O7">
        <f t="shared" si="4"/>
        <v>1.2845353253166717E-2</v>
      </c>
      <c r="P7">
        <f t="shared" si="5"/>
        <v>7.8632116890869233E-6</v>
      </c>
      <c r="Q7">
        <f t="shared" si="6"/>
        <v>1.3207322126611778E-4</v>
      </c>
      <c r="R7">
        <f t="shared" si="7"/>
        <v>5.2743074213752609E-3</v>
      </c>
      <c r="S7">
        <f t="shared" si="8"/>
        <v>3.1967308277774893E-2</v>
      </c>
    </row>
    <row r="8" spans="1:19" x14ac:dyDescent="0.2">
      <c r="A8" t="s">
        <v>11</v>
      </c>
      <c r="B8" t="s">
        <v>19</v>
      </c>
      <c r="C8">
        <v>0.488521373512389</v>
      </c>
      <c r="D8">
        <v>0.39040391240621702</v>
      </c>
      <c r="E8">
        <v>0.85619780902225096</v>
      </c>
      <c r="F8">
        <v>0.64921604603981198</v>
      </c>
      <c r="G8">
        <v>0.43070751277235803</v>
      </c>
      <c r="H8">
        <v>0.53834644714860602</v>
      </c>
      <c r="I8">
        <v>0.54677934992370703</v>
      </c>
      <c r="J8">
        <v>0.60312043114208602</v>
      </c>
      <c r="K8">
        <v>0.72474705238075698</v>
      </c>
      <c r="L8">
        <f t="shared" si="1"/>
        <v>9.6270361739211711E-3</v>
      </c>
      <c r="M8">
        <f t="shared" si="2"/>
        <v>0.13518596122923768</v>
      </c>
      <c r="N8">
        <f t="shared" si="3"/>
        <v>2.582277777869571E-2</v>
      </c>
      <c r="O8">
        <f t="shared" si="4"/>
        <v>3.342442493667695E-3</v>
      </c>
      <c r="P8">
        <f t="shared" si="5"/>
        <v>2.4825379628544485E-3</v>
      </c>
      <c r="Q8">
        <f t="shared" si="6"/>
        <v>3.3939918155416874E-3</v>
      </c>
      <c r="R8">
        <f t="shared" si="7"/>
        <v>1.3132944009614619E-2</v>
      </c>
      <c r="S8">
        <f t="shared" si="8"/>
        <v>5.5802571356821318E-2</v>
      </c>
    </row>
    <row r="9" spans="1:19" x14ac:dyDescent="0.2">
      <c r="A9" t="s">
        <v>11</v>
      </c>
      <c r="B9" t="s">
        <v>20</v>
      </c>
      <c r="C9">
        <v>0.39539539541824698</v>
      </c>
      <c r="D9">
        <v>0.28235294117646997</v>
      </c>
      <c r="E9">
        <v>0.30258908750508001</v>
      </c>
      <c r="F9">
        <v>0.33360618237266099</v>
      </c>
      <c r="G9">
        <v>0.18296184054103101</v>
      </c>
      <c r="H9">
        <v>0.189945494195502</v>
      </c>
      <c r="I9">
        <v>0.22212435769449501</v>
      </c>
      <c r="J9">
        <v>0.21248477281285999</v>
      </c>
      <c r="K9" t="s">
        <v>13</v>
      </c>
      <c r="L9">
        <f t="shared" si="1"/>
        <v>1.2778596461004247E-2</v>
      </c>
      <c r="M9">
        <f t="shared" si="2"/>
        <v>8.6130107884735563E-3</v>
      </c>
      <c r="N9">
        <f t="shared" si="3"/>
        <v>3.8179068487928136E-3</v>
      </c>
      <c r="O9">
        <f t="shared" si="4"/>
        <v>4.5128015237771123E-2</v>
      </c>
      <c r="P9">
        <f t="shared" si="5"/>
        <v>4.2209661912435671E-2</v>
      </c>
      <c r="Q9">
        <f t="shared" si="6"/>
        <v>3.0022852513865876E-2</v>
      </c>
      <c r="R9">
        <f t="shared" si="7"/>
        <v>3.3456295861890306E-2</v>
      </c>
      <c r="S9" t="e">
        <f t="shared" si="8"/>
        <v>#VALUE!</v>
      </c>
    </row>
    <row r="10" spans="1:19" x14ac:dyDescent="0.2">
      <c r="A10" t="s">
        <v>11</v>
      </c>
      <c r="B10" t="s">
        <v>21</v>
      </c>
      <c r="C10">
        <v>0.78367346942857097</v>
      </c>
      <c r="D10">
        <v>0.75718287323809497</v>
      </c>
      <c r="E10">
        <v>0.91412262044829296</v>
      </c>
      <c r="F10">
        <v>0.88519631957295597</v>
      </c>
      <c r="G10">
        <v>0.75490774356561996</v>
      </c>
      <c r="H10">
        <v>0.78064811691660096</v>
      </c>
      <c r="I10">
        <v>0.49999968791556798</v>
      </c>
      <c r="J10">
        <v>0.80758845186105799</v>
      </c>
      <c r="K10">
        <v>0.97105611577220097</v>
      </c>
      <c r="L10">
        <f t="shared" si="1"/>
        <v>7.0175168652686164E-4</v>
      </c>
      <c r="M10">
        <f t="shared" si="2"/>
        <v>1.7016981001766233E-2</v>
      </c>
      <c r="N10">
        <f t="shared" si="3"/>
        <v>1.0306889101439254E-2</v>
      </c>
      <c r="O10">
        <f t="shared" si="4"/>
        <v>8.2746698442244851E-4</v>
      </c>
      <c r="P10">
        <f t="shared" si="5"/>
        <v>9.1527578216832084E-6</v>
      </c>
      <c r="Q10">
        <f t="shared" si="6"/>
        <v>8.0470814317886954E-2</v>
      </c>
      <c r="R10">
        <f t="shared" si="7"/>
        <v>5.7192638474616272E-4</v>
      </c>
      <c r="S10">
        <f t="shared" si="8"/>
        <v>3.5112256150741913E-2</v>
      </c>
    </row>
    <row r="11" spans="1:19" x14ac:dyDescent="0.2">
      <c r="A11" t="s">
        <v>11</v>
      </c>
      <c r="B11" t="s">
        <v>22</v>
      </c>
      <c r="C11">
        <v>0.78249444952745495</v>
      </c>
      <c r="D11">
        <v>0.54124523400239399</v>
      </c>
      <c r="E11">
        <v>0.56100953657934505</v>
      </c>
      <c r="F11">
        <v>0.65916356637678397</v>
      </c>
      <c r="G11">
        <v>0.41685835888490003</v>
      </c>
      <c r="H11">
        <v>0.56868750048912198</v>
      </c>
      <c r="I11">
        <v>0.57312698118351701</v>
      </c>
      <c r="J11">
        <v>0.63563493739243904</v>
      </c>
      <c r="K11">
        <v>0.74606948850285304</v>
      </c>
      <c r="L11">
        <f t="shared" si="1"/>
        <v>5.8201183991457316E-2</v>
      </c>
      <c r="M11">
        <f t="shared" si="2"/>
        <v>4.9055566663631818E-2</v>
      </c>
      <c r="N11">
        <f t="shared" si="3"/>
        <v>1.5210506738724459E-2</v>
      </c>
      <c r="O11">
        <f t="shared" si="4"/>
        <v>0.13368975078037065</v>
      </c>
      <c r="P11">
        <f t="shared" si="5"/>
        <v>4.5713411457080314E-2</v>
      </c>
      <c r="Q11">
        <f t="shared" si="6"/>
        <v>4.3834736800749854E-2</v>
      </c>
      <c r="R11">
        <f t="shared" si="7"/>
        <v>2.1567716304534888E-2</v>
      </c>
      <c r="S11">
        <f t="shared" si="8"/>
        <v>1.3267777856437683E-3</v>
      </c>
    </row>
    <row r="12" spans="1:19" x14ac:dyDescent="0.2">
      <c r="A12" t="s">
        <v>11</v>
      </c>
      <c r="B12" t="s">
        <v>23</v>
      </c>
      <c r="C12">
        <v>0.716894229187091</v>
      </c>
      <c r="D12">
        <v>0.50265800808983496</v>
      </c>
      <c r="E12">
        <v>1.3977853277613901</v>
      </c>
      <c r="F12">
        <v>0.69248537477303296</v>
      </c>
      <c r="G12">
        <v>0.48162668337925002</v>
      </c>
      <c r="H12">
        <v>0.388479116412623</v>
      </c>
      <c r="I12">
        <v>0.41965765893440099</v>
      </c>
      <c r="J12">
        <v>0.35695525838699899</v>
      </c>
      <c r="K12">
        <v>0.48162668304344403</v>
      </c>
      <c r="L12">
        <f t="shared" si="1"/>
        <v>4.5897158430032371E-2</v>
      </c>
      <c r="M12">
        <f t="shared" si="2"/>
        <v>0.46361268811771589</v>
      </c>
      <c r="N12">
        <f t="shared" si="3"/>
        <v>5.957921738066809E-4</v>
      </c>
      <c r="O12">
        <f t="shared" si="4"/>
        <v>5.5350818110444552E-2</v>
      </c>
      <c r="P12">
        <f t="shared" si="5"/>
        <v>0.10785648629866654</v>
      </c>
      <c r="Q12">
        <f t="shared" si="6"/>
        <v>8.8349578695582326E-2</v>
      </c>
      <c r="R12">
        <f t="shared" si="7"/>
        <v>0.1295560627006295</v>
      </c>
      <c r="S12">
        <f t="shared" si="8"/>
        <v>5.5350818268453061E-2</v>
      </c>
    </row>
    <row r="13" spans="1:19" x14ac:dyDescent="0.2">
      <c r="A13" t="s">
        <v>11</v>
      </c>
      <c r="B13" t="s">
        <v>24</v>
      </c>
      <c r="C13">
        <v>0.83882422571798498</v>
      </c>
      <c r="D13">
        <v>0.75472687444439401</v>
      </c>
      <c r="E13">
        <v>1.0562124532172601</v>
      </c>
      <c r="F13">
        <v>0.88961749310772498</v>
      </c>
      <c r="G13">
        <v>0.75674876980746897</v>
      </c>
      <c r="H13">
        <v>0.77947577855643801</v>
      </c>
      <c r="I13">
        <v>0.78274580923129999</v>
      </c>
      <c r="J13">
        <v>0.80509525047479502</v>
      </c>
      <c r="K13">
        <v>0.90689294143726695</v>
      </c>
      <c r="L13">
        <f t="shared" si="1"/>
        <v>7.0723644912337527E-3</v>
      </c>
      <c r="M13">
        <f t="shared" si="2"/>
        <v>4.725764145527659E-2</v>
      </c>
      <c r="N13">
        <f t="shared" si="3"/>
        <v>2.5799560121256243E-3</v>
      </c>
      <c r="O13">
        <f t="shared" si="4"/>
        <v>6.7363804629190583E-3</v>
      </c>
      <c r="P13">
        <f t="shared" si="5"/>
        <v>3.5222381804869323E-3</v>
      </c>
      <c r="Q13">
        <f t="shared" si="6"/>
        <v>3.1447887956541029E-3</v>
      </c>
      <c r="R13">
        <f t="shared" si="7"/>
        <v>1.1376437709557214E-3</v>
      </c>
      <c r="S13">
        <f t="shared" si="8"/>
        <v>4.6333500596724246E-3</v>
      </c>
    </row>
    <row r="14" spans="1:19" x14ac:dyDescent="0.2">
      <c r="A14" t="s">
        <v>11</v>
      </c>
      <c r="B14" t="s">
        <v>25</v>
      </c>
      <c r="C14">
        <v>0.55628131702980699</v>
      </c>
      <c r="D14">
        <v>0.27643746550903697</v>
      </c>
      <c r="E14">
        <v>0.45690016890242602</v>
      </c>
      <c r="F14">
        <v>0.53525354357083799</v>
      </c>
      <c r="G14">
        <v>0.32039898951024798</v>
      </c>
      <c r="H14">
        <v>0.388557785542198</v>
      </c>
      <c r="I14">
        <v>0.40574338917216501</v>
      </c>
      <c r="J14">
        <v>0.45249437356123801</v>
      </c>
      <c r="K14">
        <v>0.86652826531228799</v>
      </c>
      <c r="L14">
        <f t="shared" si="1"/>
        <v>7.8312581233978773E-2</v>
      </c>
      <c r="M14">
        <f t="shared" si="2"/>
        <v>9.8766126031164386E-3</v>
      </c>
      <c r="N14">
        <f t="shared" si="3"/>
        <v>4.4216725664172115E-4</v>
      </c>
      <c r="O14">
        <f t="shared" si="4"/>
        <v>5.5640472436044502E-2</v>
      </c>
      <c r="P14">
        <f t="shared" si="5"/>
        <v>2.8131183014674963E-2</v>
      </c>
      <c r="Q14">
        <f t="shared" si="6"/>
        <v>2.2661667723672618E-2</v>
      </c>
      <c r="R14">
        <f t="shared" si="7"/>
        <v>1.0771729634547934E-2</v>
      </c>
      <c r="S14">
        <f t="shared" si="8"/>
        <v>9.6253168918592438E-2</v>
      </c>
    </row>
    <row r="15" spans="1:19" x14ac:dyDescent="0.2">
      <c r="A15" t="s">
        <v>11</v>
      </c>
      <c r="B15" t="s">
        <v>26</v>
      </c>
      <c r="C15">
        <v>0.65707253195409598</v>
      </c>
      <c r="D15">
        <v>0.32633224864958699</v>
      </c>
      <c r="E15">
        <v>0.47674758827027303</v>
      </c>
      <c r="F15">
        <v>0.58603146220611702</v>
      </c>
      <c r="G15">
        <v>0.38667338935186402</v>
      </c>
      <c r="H15">
        <v>0.460970615047265</v>
      </c>
      <c r="I15">
        <v>0.477813034982216</v>
      </c>
      <c r="J15">
        <v>0.49789258315586998</v>
      </c>
      <c r="K15">
        <v>0.47301563130617602</v>
      </c>
      <c r="L15">
        <f t="shared" si="1"/>
        <v>0.10938913500034687</v>
      </c>
      <c r="M15">
        <f t="shared" si="2"/>
        <v>3.2517085314573924E-2</v>
      </c>
      <c r="N15">
        <f t="shared" si="3"/>
        <v>5.0468335909372129E-3</v>
      </c>
      <c r="O15">
        <f t="shared" si="4"/>
        <v>7.3115696320022183E-2</v>
      </c>
      <c r="P15">
        <f t="shared" si="5"/>
        <v>3.8455961814533646E-2</v>
      </c>
      <c r="Q15">
        <f t="shared" si="6"/>
        <v>3.2133967254611449E-2</v>
      </c>
      <c r="R15">
        <f t="shared" si="7"/>
        <v>2.5338256099405852E-2</v>
      </c>
      <c r="S15">
        <f t="shared" si="8"/>
        <v>3.387694267611828E-2</v>
      </c>
    </row>
    <row r="16" spans="1:19" x14ac:dyDescent="0.2">
      <c r="A16" t="s">
        <v>11</v>
      </c>
      <c r="B16" t="s">
        <v>27</v>
      </c>
      <c r="C16">
        <v>0.43721183137945002</v>
      </c>
      <c r="D16">
        <v>3.5370379873806798E-2</v>
      </c>
      <c r="E16">
        <v>0.28608540762943502</v>
      </c>
      <c r="F16">
        <v>0.33561574770123598</v>
      </c>
      <c r="G16">
        <v>0.16759122639346599</v>
      </c>
      <c r="H16">
        <v>0.187518370589985</v>
      </c>
      <c r="I16">
        <v>0.219349302283358</v>
      </c>
      <c r="J16">
        <v>0.210036082703177</v>
      </c>
      <c r="K16">
        <v>7.0311863835487403</v>
      </c>
      <c r="L16">
        <f t="shared" si="1"/>
        <v>0.1614765521481622</v>
      </c>
      <c r="M16">
        <f t="shared" si="2"/>
        <v>2.2839195955469099E-2</v>
      </c>
      <c r="N16">
        <f t="shared" si="3"/>
        <v>1.0321764218750669E-2</v>
      </c>
      <c r="O16">
        <f t="shared" si="4"/>
        <v>7.2695270633008055E-2</v>
      </c>
      <c r="P16">
        <f t="shared" si="5"/>
        <v>6.2346824361020112E-2</v>
      </c>
      <c r="Q16">
        <f t="shared" si="6"/>
        <v>4.7464081584145543E-2</v>
      </c>
      <c r="R16">
        <f t="shared" si="7"/>
        <v>5.1608820786625161E-2</v>
      </c>
      <c r="S16">
        <f t="shared" si="8"/>
        <v>43.48050039465619</v>
      </c>
    </row>
    <row r="17" spans="1:19" x14ac:dyDescent="0.2">
      <c r="A17" t="s">
        <v>11</v>
      </c>
      <c r="B17" t="s">
        <v>28</v>
      </c>
      <c r="C17">
        <v>0.34240500139977298</v>
      </c>
      <c r="D17">
        <v>7.8155214518124197E-2</v>
      </c>
      <c r="E17">
        <v>0.35232791815672598</v>
      </c>
      <c r="F17">
        <v>0.37442945927922699</v>
      </c>
      <c r="G17">
        <v>0.13663571450045001</v>
      </c>
      <c r="H17">
        <v>0.235998385922214</v>
      </c>
      <c r="I17">
        <v>0.25595777060847602</v>
      </c>
      <c r="J17">
        <v>0.30558352379340498</v>
      </c>
      <c r="K17">
        <v>0.29411680947354701</v>
      </c>
      <c r="L17">
        <f t="shared" si="1"/>
        <v>6.9827949866996808E-2</v>
      </c>
      <c r="M17">
        <f t="shared" si="2"/>
        <v>9.8464276965418723E-5</v>
      </c>
      <c r="N17">
        <f t="shared" si="3"/>
        <v>1.0255659024729245E-3</v>
      </c>
      <c r="O17">
        <f t="shared" si="4"/>
        <v>4.234099943105589E-2</v>
      </c>
      <c r="P17">
        <f t="shared" si="5"/>
        <v>1.1322367817389094E-2</v>
      </c>
      <c r="Q17">
        <f t="shared" si="6"/>
        <v>7.4731237114837607E-3</v>
      </c>
      <c r="R17">
        <f t="shared" si="7"/>
        <v>1.3558212131162602E-3</v>
      </c>
      <c r="S17">
        <f t="shared" si="8"/>
        <v>2.3317494795040343E-3</v>
      </c>
    </row>
    <row r="18" spans="1:19" x14ac:dyDescent="0.2">
      <c r="A18" t="s">
        <v>11</v>
      </c>
      <c r="B18" t="s">
        <v>29</v>
      </c>
      <c r="C18">
        <v>0.58888888886060597</v>
      </c>
      <c r="D18">
        <v>0.49561403509051</v>
      </c>
      <c r="E18">
        <v>1.0881949305360501</v>
      </c>
      <c r="F18">
        <v>0.83182999955334003</v>
      </c>
      <c r="G18">
        <v>0.63582305066299105</v>
      </c>
      <c r="H18">
        <v>0.29163442636285503</v>
      </c>
      <c r="I18">
        <v>0.36126975963079799</v>
      </c>
      <c r="J18">
        <v>0.139733980686158</v>
      </c>
      <c r="K18">
        <v>0.63582308856995096</v>
      </c>
      <c r="L18">
        <f t="shared" si="1"/>
        <v>8.700198345832787E-3</v>
      </c>
      <c r="M18">
        <f t="shared" si="2"/>
        <v>0.24930652325360034</v>
      </c>
      <c r="N18">
        <f t="shared" si="3"/>
        <v>5.902038326461926E-2</v>
      </c>
      <c r="O18">
        <f t="shared" si="4"/>
        <v>2.2028155440924624E-3</v>
      </c>
      <c r="P18">
        <f t="shared" si="5"/>
        <v>8.8360215474826823E-2</v>
      </c>
      <c r="Q18">
        <f t="shared" si="6"/>
        <v>5.1810467991336026E-2</v>
      </c>
      <c r="R18">
        <f t="shared" si="7"/>
        <v>0.2017401315371968</v>
      </c>
      <c r="S18">
        <f t="shared" si="8"/>
        <v>2.2028191023566786E-3</v>
      </c>
    </row>
    <row r="19" spans="1:19" x14ac:dyDescent="0.2">
      <c r="A19" t="s">
        <v>11</v>
      </c>
      <c r="B19" t="s">
        <v>30</v>
      </c>
      <c r="C19">
        <v>0.58256343524634202</v>
      </c>
      <c r="D19">
        <v>0.163202054925187</v>
      </c>
      <c r="E19">
        <v>0.39420652392986599</v>
      </c>
      <c r="F19">
        <v>0.45326651971113402</v>
      </c>
      <c r="G19">
        <v>0.21032657922689099</v>
      </c>
      <c r="H19">
        <v>0.328128692253772</v>
      </c>
      <c r="I19">
        <v>0.34168930574002299</v>
      </c>
      <c r="J19">
        <v>0.40864915663248802</v>
      </c>
      <c r="K19">
        <v>1.0061989647505001</v>
      </c>
      <c r="L19">
        <f t="shared" si="1"/>
        <v>0.17586396730486439</v>
      </c>
      <c r="M19">
        <f t="shared" si="2"/>
        <v>3.5478326040682816E-2</v>
      </c>
      <c r="N19">
        <f t="shared" si="3"/>
        <v>1.6717692366918713E-2</v>
      </c>
      <c r="O19">
        <f t="shared" si="4"/>
        <v>0.1385602769792455</v>
      </c>
      <c r="P19">
        <f t="shared" si="5"/>
        <v>6.4737038441695163E-2</v>
      </c>
      <c r="Q19">
        <f t="shared" si="6"/>
        <v>5.8020346265426952E-2</v>
      </c>
      <c r="R19">
        <f t="shared" si="7"/>
        <v>3.0246176305777236E-2</v>
      </c>
      <c r="S19">
        <f t="shared" si="8"/>
        <v>0.17946706185826838</v>
      </c>
    </row>
    <row r="20" spans="1:19" x14ac:dyDescent="0.2">
      <c r="A20" t="s">
        <v>11</v>
      </c>
      <c r="B20" t="s">
        <v>31</v>
      </c>
      <c r="C20">
        <v>0.599991574711083</v>
      </c>
      <c r="D20">
        <v>0.58910951426678204</v>
      </c>
      <c r="E20">
        <v>0.87027537311877201</v>
      </c>
      <c r="F20">
        <v>0.74775874273353604</v>
      </c>
      <c r="G20">
        <v>0.53819837373730395</v>
      </c>
      <c r="H20">
        <v>0.391138970456124</v>
      </c>
      <c r="I20">
        <v>0.42345866304190999</v>
      </c>
      <c r="J20">
        <v>0.31618338664402501</v>
      </c>
      <c r="K20" t="s">
        <v>13</v>
      </c>
      <c r="L20">
        <f t="shared" si="1"/>
        <v>1.1841923951341952E-4</v>
      </c>
      <c r="M20">
        <f t="shared" si="2"/>
        <v>7.3053331681688274E-2</v>
      </c>
      <c r="N20">
        <f t="shared" si="3"/>
        <v>2.183513594537587E-2</v>
      </c>
      <c r="O20">
        <f t="shared" si="4"/>
        <v>3.8183996865858482E-3</v>
      </c>
      <c r="P20">
        <f t="shared" si="5"/>
        <v>4.3619410304078517E-2</v>
      </c>
      <c r="Q20">
        <f t="shared" si="6"/>
        <v>3.1163868902396041E-2</v>
      </c>
      <c r="R20">
        <f t="shared" si="7"/>
        <v>8.0547087613906554E-2</v>
      </c>
      <c r="S20" t="e">
        <f t="shared" si="8"/>
        <v>#VALUE!</v>
      </c>
    </row>
    <row r="21" spans="1:19" x14ac:dyDescent="0.2">
      <c r="A21" t="s">
        <v>11</v>
      </c>
      <c r="B21" t="s">
        <v>32</v>
      </c>
      <c r="C21">
        <v>0.232660455434782</v>
      </c>
      <c r="D21">
        <v>0.12991718425465801</v>
      </c>
      <c r="E21">
        <v>0.35683223317340101</v>
      </c>
      <c r="F21">
        <v>0.36956721634717898</v>
      </c>
      <c r="G21">
        <v>0.18941194324991201</v>
      </c>
      <c r="H21">
        <v>0.221550816380643</v>
      </c>
      <c r="I21">
        <v>0.25196541874638501</v>
      </c>
      <c r="J21">
        <v>0.25121159235985102</v>
      </c>
      <c r="K21" s="1">
        <v>2.5776507690984701E+201</v>
      </c>
      <c r="L21">
        <f t="shared" si="1"/>
        <v>1.0556179772792499E-2</v>
      </c>
      <c r="M21">
        <f t="shared" si="2"/>
        <v>1.5418630386769E-2</v>
      </c>
      <c r="N21">
        <f t="shared" si="3"/>
        <v>1.874346118352423E-2</v>
      </c>
      <c r="O21">
        <f t="shared" si="4"/>
        <v>1.8704338062048487E-3</v>
      </c>
      <c r="P21">
        <f t="shared" si="5"/>
        <v>1.2342407991325057E-4</v>
      </c>
      <c r="Q21">
        <f t="shared" si="6"/>
        <v>3.7268160846233795E-4</v>
      </c>
      <c r="R21">
        <f t="shared" si="7"/>
        <v>3.4414468121265915E-4</v>
      </c>
      <c r="S21" t="e">
        <f t="shared" si="8"/>
        <v>#NUM!</v>
      </c>
    </row>
    <row r="22" spans="1:19" x14ac:dyDescent="0.2">
      <c r="A22" t="s">
        <v>11</v>
      </c>
      <c r="B22" t="s">
        <v>33</v>
      </c>
      <c r="C22">
        <v>0.66267175918311405</v>
      </c>
      <c r="D22">
        <v>0.43467750933994598</v>
      </c>
      <c r="E22">
        <v>0.57605433136208095</v>
      </c>
      <c r="F22">
        <v>0.622543611572281</v>
      </c>
      <c r="G22">
        <v>0.46071182780509901</v>
      </c>
      <c r="H22">
        <v>0.433456863905267</v>
      </c>
      <c r="I22">
        <v>0.45867172538429202</v>
      </c>
      <c r="J22">
        <v>0.43233582306851698</v>
      </c>
      <c r="K22" s="1">
        <v>8.0860988136285497E+91</v>
      </c>
      <c r="L22">
        <f t="shared" si="1"/>
        <v>5.1981377961548947E-2</v>
      </c>
      <c r="M22">
        <f t="shared" si="2"/>
        <v>7.5025788023318791E-3</v>
      </c>
      <c r="N22">
        <f t="shared" si="3"/>
        <v>1.6102682306768064E-3</v>
      </c>
      <c r="O22">
        <f t="shared" si="4"/>
        <v>4.0787813882212545E-2</v>
      </c>
      <c r="P22">
        <f t="shared" si="5"/>
        <v>5.2539468217234389E-2</v>
      </c>
      <c r="Q22">
        <f t="shared" si="6"/>
        <v>4.1616013789920532E-2</v>
      </c>
      <c r="R22">
        <f t="shared" si="7"/>
        <v>5.3054643465787747E-2</v>
      </c>
      <c r="S22">
        <f t="shared" si="8"/>
        <v>6.5384994023765034E+183</v>
      </c>
    </row>
    <row r="23" spans="1:19" x14ac:dyDescent="0.2">
      <c r="A23" t="s">
        <v>11</v>
      </c>
      <c r="B23" t="s">
        <v>34</v>
      </c>
      <c r="C23">
        <v>0.53302907589091797</v>
      </c>
      <c r="D23">
        <v>0.47283458943727902</v>
      </c>
      <c r="E23">
        <v>0.756705648851969</v>
      </c>
      <c r="F23">
        <v>0.6660900553122</v>
      </c>
      <c r="G23">
        <v>0.46568548235593799</v>
      </c>
      <c r="H23">
        <v>0.53956643458626996</v>
      </c>
      <c r="I23">
        <v>0.55127697770276896</v>
      </c>
      <c r="J23">
        <v>0.58836031295583202</v>
      </c>
      <c r="K23">
        <v>0.59359524086941495</v>
      </c>
      <c r="L23">
        <f t="shared" si="1"/>
        <v>3.6233761994173231E-3</v>
      </c>
      <c r="M23">
        <f t="shared" si="2"/>
        <v>5.003120929160039E-2</v>
      </c>
      <c r="N23">
        <f t="shared" si="3"/>
        <v>1.770522424455084E-2</v>
      </c>
      <c r="O23">
        <f t="shared" si="4"/>
        <v>4.5351595902045983E-3</v>
      </c>
      <c r="P23">
        <f t="shared" si="5"/>
        <v>4.2737058711694287E-5</v>
      </c>
      <c r="Q23">
        <f t="shared" si="6"/>
        <v>3.3298592053495452E-4</v>
      </c>
      <c r="R23">
        <f t="shared" si="7"/>
        <v>3.0615457951337186E-3</v>
      </c>
      <c r="S23">
        <f t="shared" si="8"/>
        <v>3.6682603402025146E-3</v>
      </c>
    </row>
    <row r="24" spans="1:19" x14ac:dyDescent="0.2">
      <c r="A24" t="s">
        <v>11</v>
      </c>
      <c r="B24" t="s">
        <v>35</v>
      </c>
      <c r="C24">
        <v>0.58352250229833502</v>
      </c>
      <c r="D24">
        <v>0.24711680227379901</v>
      </c>
      <c r="E24">
        <v>0.36471441226192702</v>
      </c>
      <c r="F24">
        <v>0.42573709945488403</v>
      </c>
      <c r="G24">
        <v>0.29108414758664503</v>
      </c>
      <c r="H24">
        <v>0.26514293488986002</v>
      </c>
      <c r="I24">
        <v>0.30092473290014998</v>
      </c>
      <c r="J24">
        <v>0.26346377536298998</v>
      </c>
      <c r="K24" t="s">
        <v>13</v>
      </c>
      <c r="L24">
        <f t="shared" si="1"/>
        <v>0.11316879500899811</v>
      </c>
      <c r="M24">
        <f t="shared" si="2"/>
        <v>4.7876980265380828E-2</v>
      </c>
      <c r="N24">
        <f t="shared" si="3"/>
        <v>2.4896233350470115E-2</v>
      </c>
      <c r="O24">
        <f t="shared" si="4"/>
        <v>8.5520191306480225E-2</v>
      </c>
      <c r="P24">
        <f t="shared" si="5"/>
        <v>0.10136554894320768</v>
      </c>
      <c r="Q24">
        <f t="shared" si="6"/>
        <v>7.9861499268829766E-2</v>
      </c>
      <c r="R24">
        <f t="shared" si="7"/>
        <v>0.10243758868747375</v>
      </c>
      <c r="S24" t="e">
        <f t="shared" si="8"/>
        <v>#VALUE!</v>
      </c>
    </row>
    <row r="25" spans="1:19" x14ac:dyDescent="0.2">
      <c r="A25" t="s">
        <v>11</v>
      </c>
      <c r="B25" t="s">
        <v>36</v>
      </c>
      <c r="C25">
        <v>0.63815975674960301</v>
      </c>
      <c r="D25">
        <v>0.22545990739032801</v>
      </c>
      <c r="E25">
        <v>0.27823093084845801</v>
      </c>
      <c r="F25">
        <v>0.40572575311929399</v>
      </c>
      <c r="G25">
        <v>0.19035569626153001</v>
      </c>
      <c r="H25">
        <v>0.26103721160193999</v>
      </c>
      <c r="I25">
        <v>0.28302580704722102</v>
      </c>
      <c r="J25">
        <v>0.32036604704950999</v>
      </c>
      <c r="K25">
        <v>0.89254998200385005</v>
      </c>
      <c r="L25">
        <f t="shared" si="1"/>
        <v>0.17032116566116828</v>
      </c>
      <c r="M25">
        <f t="shared" si="2"/>
        <v>0.12954875971457674</v>
      </c>
      <c r="N25">
        <f t="shared" si="3"/>
        <v>5.4025566043614512E-2</v>
      </c>
      <c r="O25">
        <f t="shared" si="4"/>
        <v>0.20052847658960571</v>
      </c>
      <c r="P25">
        <f t="shared" si="5"/>
        <v>0.14222141405865113</v>
      </c>
      <c r="Q25">
        <f t="shared" si="6"/>
        <v>0.12612012223121399</v>
      </c>
      <c r="R25">
        <f t="shared" si="7"/>
        <v>0.10099284192494699</v>
      </c>
      <c r="S25">
        <f t="shared" si="8"/>
        <v>6.4714386704906549E-2</v>
      </c>
    </row>
    <row r="26" spans="1:19" x14ac:dyDescent="0.2">
      <c r="A26" t="s">
        <v>11</v>
      </c>
      <c r="B26" t="s">
        <v>37</v>
      </c>
      <c r="C26">
        <v>0.68799203030630496</v>
      </c>
      <c r="D26">
        <v>0.52673810213203998</v>
      </c>
      <c r="E26">
        <v>2.0801727346782801</v>
      </c>
      <c r="F26">
        <v>0.63838574409549198</v>
      </c>
      <c r="G26">
        <v>0.42344611800327098</v>
      </c>
      <c r="H26">
        <v>0.46176882407794201</v>
      </c>
      <c r="I26">
        <v>0.47596887964718698</v>
      </c>
      <c r="J26">
        <v>0.50579406905234603</v>
      </c>
      <c r="K26">
        <v>316261794.98860699</v>
      </c>
      <c r="L26">
        <f t="shared" si="1"/>
        <v>2.6002829351631011E-2</v>
      </c>
      <c r="M26">
        <f t="shared" si="2"/>
        <v>1.9381671136256489</v>
      </c>
      <c r="N26">
        <f t="shared" si="3"/>
        <v>2.4607836316290939E-3</v>
      </c>
      <c r="O26">
        <f t="shared" si="4"/>
        <v>6.9984539716244548E-2</v>
      </c>
      <c r="P26">
        <f t="shared" si="5"/>
        <v>5.1176939036240432E-2</v>
      </c>
      <c r="Q26">
        <f t="shared" si="6"/>
        <v>4.495381641541904E-2</v>
      </c>
      <c r="R26">
        <f t="shared" si="7"/>
        <v>3.3196097085099116E-2</v>
      </c>
      <c r="S26">
        <f t="shared" si="8"/>
        <v>1.0002152253424448E+17</v>
      </c>
    </row>
    <row r="27" spans="1:19" x14ac:dyDescent="0.2">
      <c r="A27" t="s">
        <v>11</v>
      </c>
      <c r="B27" t="s">
        <v>38</v>
      </c>
      <c r="C27">
        <v>0.66521409086133698</v>
      </c>
      <c r="D27">
        <v>0.44240263298343002</v>
      </c>
      <c r="E27">
        <v>0.56310598721444305</v>
      </c>
      <c r="F27">
        <v>0.60058053914007303</v>
      </c>
      <c r="G27">
        <v>0.34742094316885602</v>
      </c>
      <c r="H27">
        <v>0.49768633530765599</v>
      </c>
      <c r="I27">
        <v>0.50428749072520895</v>
      </c>
      <c r="J27">
        <v>0.57571590011666296</v>
      </c>
      <c r="K27">
        <v>0.67779491440819495</v>
      </c>
      <c r="L27">
        <f t="shared" si="1"/>
        <v>4.9644945761678307E-2</v>
      </c>
      <c r="M27">
        <f t="shared" si="2"/>
        <v>1.0426064830364835E-2</v>
      </c>
      <c r="N27">
        <f t="shared" si="3"/>
        <v>4.1774960081053022E-3</v>
      </c>
      <c r="O27">
        <f t="shared" si="4"/>
        <v>0.10099248472029501</v>
      </c>
      <c r="P27">
        <f t="shared" si="5"/>
        <v>2.8065548880853892E-2</v>
      </c>
      <c r="Q27">
        <f t="shared" si="6"/>
        <v>2.5897370631373241E-2</v>
      </c>
      <c r="R27">
        <f t="shared" si="7"/>
        <v>8.0099261465700552E-3</v>
      </c>
      <c r="S27">
        <f t="shared" si="8"/>
        <v>1.5827712111717588E-4</v>
      </c>
    </row>
    <row r="28" spans="1:19" x14ac:dyDescent="0.2">
      <c r="A28" t="s">
        <v>11</v>
      </c>
      <c r="B28" t="s">
        <v>39</v>
      </c>
      <c r="C28">
        <v>0.29027658977690401</v>
      </c>
      <c r="D28">
        <v>3.5183601175704099E-2</v>
      </c>
      <c r="E28">
        <v>0.31763231457355401</v>
      </c>
      <c r="F28">
        <v>0.37860997392402301</v>
      </c>
      <c r="G28">
        <v>0.17925871167301899</v>
      </c>
      <c r="H28">
        <v>0.21856657533745799</v>
      </c>
      <c r="I28">
        <v>0.24764411773721201</v>
      </c>
      <c r="J28">
        <v>0.26228117129306</v>
      </c>
      <c r="K28">
        <v>0.44953619642688902</v>
      </c>
      <c r="L28">
        <f t="shared" si="1"/>
        <v>6.50724328334919E-2</v>
      </c>
      <c r="M28">
        <f t="shared" si="2"/>
        <v>7.4833567915005134E-4</v>
      </c>
      <c r="N28">
        <f t="shared" si="3"/>
        <v>7.8027867548824941E-3</v>
      </c>
      <c r="O28">
        <f t="shared" si="4"/>
        <v>1.2324969258689073E-2</v>
      </c>
      <c r="P28">
        <f t="shared" si="5"/>
        <v>5.1423261709055571E-3</v>
      </c>
      <c r="Q28">
        <f t="shared" si="6"/>
        <v>1.8175276722151206E-3</v>
      </c>
      <c r="R28">
        <f t="shared" si="7"/>
        <v>7.8374345608555511E-4</v>
      </c>
      <c r="S28">
        <f t="shared" si="8"/>
        <v>2.5363622310307948E-2</v>
      </c>
    </row>
    <row r="29" spans="1:19" x14ac:dyDescent="0.2">
      <c r="A29" t="s">
        <v>11</v>
      </c>
      <c r="B29" t="s">
        <v>40</v>
      </c>
      <c r="C29">
        <v>0.59671717169001304</v>
      </c>
      <c r="D29">
        <v>0.43696116087896603</v>
      </c>
      <c r="E29">
        <v>0.55718123171779699</v>
      </c>
      <c r="F29">
        <v>0.60642298926131699</v>
      </c>
      <c r="G29">
        <v>0.34494745331603599</v>
      </c>
      <c r="H29">
        <v>0.50979789332568504</v>
      </c>
      <c r="I29">
        <v>0.515956887273603</v>
      </c>
      <c r="J29">
        <v>0.581746728915704</v>
      </c>
      <c r="K29">
        <v>0.64981556125173201</v>
      </c>
      <c r="L29">
        <f t="shared" si="1"/>
        <v>2.552198299025937E-2</v>
      </c>
      <c r="M29">
        <f t="shared" si="2"/>
        <v>1.5630905494866708E-3</v>
      </c>
      <c r="N29">
        <f t="shared" si="3"/>
        <v>9.4202894727432582E-5</v>
      </c>
      <c r="O29">
        <f t="shared" si="4"/>
        <v>6.3387991090111714E-2</v>
      </c>
      <c r="P29">
        <f t="shared" si="5"/>
        <v>7.5549609513755377E-3</v>
      </c>
      <c r="Q29">
        <f t="shared" si="6"/>
        <v>6.5222235390194417E-3</v>
      </c>
      <c r="R29">
        <f t="shared" si="7"/>
        <v>2.2411415685886157E-4</v>
      </c>
      <c r="S29">
        <f t="shared" si="8"/>
        <v>2.8194389740480662E-3</v>
      </c>
    </row>
    <row r="30" spans="1:19" x14ac:dyDescent="0.2">
      <c r="A30" t="s">
        <v>11</v>
      </c>
      <c r="B30" t="s">
        <v>41</v>
      </c>
      <c r="C30">
        <v>0.68217054264902</v>
      </c>
      <c r="D30">
        <v>0.58965394944267702</v>
      </c>
      <c r="E30">
        <v>0.92679570421101298</v>
      </c>
      <c r="F30">
        <v>0.75263138574687005</v>
      </c>
      <c r="G30">
        <v>0.56649795507778999</v>
      </c>
      <c r="H30">
        <v>0.60104855311334204</v>
      </c>
      <c r="I30">
        <v>0.60986501636481205</v>
      </c>
      <c r="J30">
        <v>0.65073257437443399</v>
      </c>
      <c r="K30">
        <v>1.4424602495725101</v>
      </c>
      <c r="L30">
        <f t="shared" si="1"/>
        <v>8.5593200185079474E-3</v>
      </c>
      <c r="M30">
        <f t="shared" si="2"/>
        <v>5.9841469669231172E-2</v>
      </c>
      <c r="N30">
        <f t="shared" si="3"/>
        <v>4.9647304100598443E-3</v>
      </c>
      <c r="O30">
        <f t="shared" si="4"/>
        <v>1.3380147515423874E-2</v>
      </c>
      <c r="P30">
        <f t="shared" si="5"/>
        <v>6.5807771862266429E-3</v>
      </c>
      <c r="Q30">
        <f t="shared" si="6"/>
        <v>5.2280891312362857E-3</v>
      </c>
      <c r="R30">
        <f t="shared" si="7"/>
        <v>9.88345849233876E-4</v>
      </c>
      <c r="S30">
        <f t="shared" si="8"/>
        <v>0.57804043845380648</v>
      </c>
    </row>
    <row r="31" spans="1:19" x14ac:dyDescent="0.2">
      <c r="A31" t="s">
        <v>11</v>
      </c>
      <c r="B31" t="s">
        <v>42</v>
      </c>
      <c r="C31">
        <v>0.32251082250504998</v>
      </c>
      <c r="D31">
        <v>0.11381005825589199</v>
      </c>
      <c r="E31">
        <v>0.37899769026907298</v>
      </c>
      <c r="F31">
        <v>0.36277761442895701</v>
      </c>
      <c r="G31">
        <v>0.18821694637560499</v>
      </c>
      <c r="H31">
        <v>0.22451238496604201</v>
      </c>
      <c r="I31">
        <v>0.25702194003219597</v>
      </c>
      <c r="J31">
        <v>0.242790574278239</v>
      </c>
      <c r="K31">
        <v>0.22690808004604901</v>
      </c>
      <c r="L31">
        <f t="shared" si="1"/>
        <v>4.355600899818262E-2</v>
      </c>
      <c r="M31">
        <f t="shared" si="2"/>
        <v>3.1907662297902218E-3</v>
      </c>
      <c r="N31">
        <f t="shared" si="3"/>
        <v>1.6214145318432245E-3</v>
      </c>
      <c r="O31">
        <f t="shared" si="4"/>
        <v>1.8034845165870714E-2</v>
      </c>
      <c r="P31">
        <f t="shared" si="5"/>
        <v>9.6036937600868458E-3</v>
      </c>
      <c r="Q31">
        <f t="shared" si="6"/>
        <v>4.2887937275432842E-3</v>
      </c>
      <c r="R31">
        <f t="shared" si="7"/>
        <v>6.3553179773443592E-3</v>
      </c>
      <c r="S31">
        <f t="shared" si="8"/>
        <v>9.1398843656820654E-3</v>
      </c>
    </row>
    <row r="32" spans="1:19" x14ac:dyDescent="0.2">
      <c r="A32" t="s">
        <v>11</v>
      </c>
      <c r="B32" t="s">
        <v>43</v>
      </c>
      <c r="C32">
        <v>0.48194024822479498</v>
      </c>
      <c r="D32">
        <v>0.34889666228981298</v>
      </c>
      <c r="E32">
        <v>0.72931052284076403</v>
      </c>
      <c r="F32">
        <v>0.61144039684374596</v>
      </c>
      <c r="G32">
        <v>0.41893699045181698</v>
      </c>
      <c r="H32">
        <v>0.468487254029539</v>
      </c>
      <c r="I32">
        <v>0.48738502473593798</v>
      </c>
      <c r="J32">
        <v>0.49685215455813497</v>
      </c>
      <c r="K32">
        <v>0.474297111542063</v>
      </c>
      <c r="L32">
        <f t="shared" si="1"/>
        <v>1.770059575843894E-2</v>
      </c>
      <c r="M32">
        <f t="shared" si="2"/>
        <v>6.1192052763579946E-2</v>
      </c>
      <c r="N32">
        <f t="shared" si="3"/>
        <v>1.6770288492330393E-2</v>
      </c>
      <c r="O32">
        <f t="shared" si="4"/>
        <v>3.9694104900083122E-3</v>
      </c>
      <c r="P32">
        <f t="shared" si="5"/>
        <v>1.8098305281759094E-4</v>
      </c>
      <c r="Q32">
        <f t="shared" si="6"/>
        <v>2.9645591256294553E-5</v>
      </c>
      <c r="R32">
        <f t="shared" si="7"/>
        <v>2.2236495049430551E-4</v>
      </c>
      <c r="S32">
        <f t="shared" si="8"/>
        <v>5.8417538350923167E-5</v>
      </c>
    </row>
    <row r="33" spans="1:19" x14ac:dyDescent="0.2">
      <c r="A33" t="s">
        <v>11</v>
      </c>
      <c r="B33" t="s">
        <v>44</v>
      </c>
      <c r="C33">
        <v>0.68877635048146701</v>
      </c>
      <c r="D33">
        <v>0.377912721810643</v>
      </c>
      <c r="E33">
        <v>0.96242779625589803</v>
      </c>
      <c r="F33">
        <v>0.71053674625063501</v>
      </c>
      <c r="G33">
        <v>0.514754620240504</v>
      </c>
      <c r="H33">
        <v>0.243848002561947</v>
      </c>
      <c r="I33">
        <v>0.30382974964003201</v>
      </c>
      <c r="J33">
        <v>0.12909018038511999</v>
      </c>
      <c r="K33">
        <v>0.51474884751099304</v>
      </c>
      <c r="L33">
        <f t="shared" si="1"/>
        <v>9.6636195630391955E-2</v>
      </c>
      <c r="M33">
        <f t="shared" si="2"/>
        <v>7.4885113774436352E-2</v>
      </c>
      <c r="N33">
        <f t="shared" si="3"/>
        <v>4.7351482403082439E-4</v>
      </c>
      <c r="O33">
        <f t="shared" si="4"/>
        <v>3.0283562596058501E-2</v>
      </c>
      <c r="P33">
        <f t="shared" si="5"/>
        <v>0.19796123478239344</v>
      </c>
      <c r="Q33">
        <f t="shared" si="6"/>
        <v>0.14818388549937508</v>
      </c>
      <c r="R33">
        <f t="shared" si="7"/>
        <v>0.3132486089971171</v>
      </c>
      <c r="S33">
        <f t="shared" si="8"/>
        <v>3.028557179013833E-2</v>
      </c>
    </row>
    <row r="34" spans="1:19" x14ac:dyDescent="0.2">
      <c r="A34" t="s">
        <v>11</v>
      </c>
      <c r="B34" t="s">
        <v>45</v>
      </c>
      <c r="C34">
        <v>0.50036824977481398</v>
      </c>
      <c r="D34">
        <v>0.46147925159481401</v>
      </c>
      <c r="E34">
        <v>0.86583947220768998</v>
      </c>
      <c r="F34">
        <v>0.67058472111093204</v>
      </c>
      <c r="G34">
        <v>0.46613503047428401</v>
      </c>
      <c r="H34">
        <v>0.55450020956773105</v>
      </c>
      <c r="I34">
        <v>0.56397175200330596</v>
      </c>
      <c r="J34">
        <v>0.61166404991183898</v>
      </c>
      <c r="K34">
        <v>0.70390594097114301</v>
      </c>
      <c r="L34">
        <f t="shared" si="1"/>
        <v>1.5123541794440408E-3</v>
      </c>
      <c r="M34">
        <f t="shared" si="2"/>
        <v>0.13356921442658073</v>
      </c>
      <c r="N34">
        <f t="shared" si="3"/>
        <v>2.89736471141195E-2</v>
      </c>
      <c r="O34">
        <f t="shared" si="4"/>
        <v>1.1719133036781778E-3</v>
      </c>
      <c r="P34">
        <f t="shared" si="5"/>
        <v>2.9302690710219905E-3</v>
      </c>
      <c r="Q34">
        <f t="shared" si="6"/>
        <v>4.0454054957297847E-3</v>
      </c>
      <c r="R34">
        <f t="shared" si="7"/>
        <v>1.2386755128140615E-2</v>
      </c>
      <c r="S34">
        <f t="shared" si="8"/>
        <v>4.1427591737532195E-2</v>
      </c>
    </row>
    <row r="35" spans="1:19" x14ac:dyDescent="0.2">
      <c r="A35" t="s">
        <v>11</v>
      </c>
      <c r="B35" t="s">
        <v>46</v>
      </c>
      <c r="C35">
        <v>0.69674447969034403</v>
      </c>
      <c r="D35">
        <v>0.49454616056415701</v>
      </c>
      <c r="E35">
        <v>0.85176761788913302</v>
      </c>
      <c r="F35">
        <v>0.71904321232869495</v>
      </c>
      <c r="G35">
        <v>0.518238317462418</v>
      </c>
      <c r="H35">
        <v>0.630999902006527</v>
      </c>
      <c r="I35">
        <v>0.63542948920276898</v>
      </c>
      <c r="J35">
        <v>0.69604528914304398</v>
      </c>
      <c r="K35">
        <v>0.829007310958217</v>
      </c>
      <c r="L35">
        <f t="shared" si="1"/>
        <v>4.0884160257455365E-2</v>
      </c>
      <c r="M35">
        <f t="shared" si="2"/>
        <v>2.403217337700083E-2</v>
      </c>
      <c r="N35">
        <f t="shared" si="3"/>
        <v>4.9723347727665638E-4</v>
      </c>
      <c r="O35">
        <f t="shared" si="4"/>
        <v>3.1864449953342651E-2</v>
      </c>
      <c r="P35">
        <f t="shared" si="5"/>
        <v>4.3223494948234518E-3</v>
      </c>
      <c r="Q35">
        <f t="shared" si="6"/>
        <v>3.759528058491419E-3</v>
      </c>
      <c r="R35">
        <f t="shared" si="7"/>
        <v>4.8886742143375019E-7</v>
      </c>
      <c r="S35">
        <f t="shared" si="8"/>
        <v>1.7493456534993835E-2</v>
      </c>
    </row>
    <row r="36" spans="1:19" x14ac:dyDescent="0.2">
      <c r="A36" t="s">
        <v>11</v>
      </c>
      <c r="B36" t="s">
        <v>47</v>
      </c>
      <c r="C36">
        <v>0.5</v>
      </c>
      <c r="D36">
        <v>0.13265306121970399</v>
      </c>
      <c r="E36">
        <v>1.4557402462128901</v>
      </c>
      <c r="F36">
        <v>0.476011794290436</v>
      </c>
      <c r="G36">
        <v>0.242582882874532</v>
      </c>
      <c r="H36">
        <v>0.34028970306717399</v>
      </c>
      <c r="I36">
        <v>0.359211018493096</v>
      </c>
      <c r="J36">
        <v>0.40029916604462401</v>
      </c>
      <c r="K36">
        <v>0.37540871369953299</v>
      </c>
      <c r="L36">
        <f t="shared" si="1"/>
        <v>0.13494377343125455</v>
      </c>
      <c r="M36">
        <f t="shared" si="2"/>
        <v>0.91343941823107577</v>
      </c>
      <c r="N36">
        <f t="shared" si="3"/>
        <v>5.7543401316435903E-4</v>
      </c>
      <c r="O36">
        <f t="shared" si="4"/>
        <v>6.6263572189186909E-2</v>
      </c>
      <c r="P36">
        <f t="shared" si="5"/>
        <v>2.5507378946371454E-2</v>
      </c>
      <c r="Q36">
        <f t="shared" si="6"/>
        <v>1.9821537313751355E-2</v>
      </c>
      <c r="R36">
        <f t="shared" si="7"/>
        <v>9.9402562913974545E-3</v>
      </c>
      <c r="S36">
        <f t="shared" si="8"/>
        <v>1.5522988622004939E-2</v>
      </c>
    </row>
    <row r="37" spans="1:19" x14ac:dyDescent="0.2">
      <c r="A37" t="s">
        <v>11</v>
      </c>
      <c r="B37" t="s">
        <v>48</v>
      </c>
      <c r="C37">
        <v>0.67248498571483895</v>
      </c>
      <c r="D37">
        <v>0.32635162090644798</v>
      </c>
      <c r="E37">
        <v>0.48047530428559698</v>
      </c>
      <c r="F37">
        <v>0.57944618794341995</v>
      </c>
      <c r="G37">
        <v>0.37878219373197303</v>
      </c>
      <c r="H37">
        <v>0.44384024349760198</v>
      </c>
      <c r="I37">
        <v>0.45949858320473502</v>
      </c>
      <c r="J37">
        <v>0.49348443010715698</v>
      </c>
      <c r="K37">
        <v>1.1824737840014901</v>
      </c>
      <c r="L37">
        <f t="shared" si="1"/>
        <v>0.11980830623357866</v>
      </c>
      <c r="M37">
        <f t="shared" si="2"/>
        <v>3.6867717762558982E-2</v>
      </c>
      <c r="N37">
        <f t="shared" si="3"/>
        <v>8.6562178907509998E-3</v>
      </c>
      <c r="O37">
        <f t="shared" si="4"/>
        <v>8.6261330018530605E-2</v>
      </c>
      <c r="P37">
        <f t="shared" si="5"/>
        <v>5.227841814358674E-2</v>
      </c>
      <c r="Q37">
        <f t="shared" si="6"/>
        <v>4.5363207654196006E-2</v>
      </c>
      <c r="R37">
        <f t="shared" si="7"/>
        <v>3.2041198907858844E-2</v>
      </c>
      <c r="S37">
        <f t="shared" si="8"/>
        <v>0.26008857437786254</v>
      </c>
    </row>
    <row r="38" spans="1:19" x14ac:dyDescent="0.2">
      <c r="A38" t="s">
        <v>11</v>
      </c>
      <c r="B38" t="s">
        <v>49</v>
      </c>
      <c r="C38">
        <v>0.41839195464908102</v>
      </c>
      <c r="D38">
        <v>0.20317051063005301</v>
      </c>
      <c r="E38">
        <v>3.0648556079234202</v>
      </c>
      <c r="F38">
        <v>0.26719004561574</v>
      </c>
      <c r="G38">
        <v>0.10562875934030599</v>
      </c>
      <c r="H38">
        <v>0.145165770637499</v>
      </c>
      <c r="I38">
        <v>0.161455244033334</v>
      </c>
      <c r="J38">
        <v>0.202475113094222</v>
      </c>
      <c r="K38" s="1">
        <v>3.7483818635181504E+16</v>
      </c>
      <c r="L38">
        <f t="shared" si="1"/>
        <v>4.632026996563561E-2</v>
      </c>
      <c r="M38">
        <f t="shared" si="2"/>
        <v>7.0037698681021627</v>
      </c>
      <c r="N38">
        <f t="shared" si="3"/>
        <v>2.2862017295326734E-2</v>
      </c>
      <c r="O38">
        <f t="shared" si="4"/>
        <v>9.7820816339754965E-2</v>
      </c>
      <c r="P38">
        <f t="shared" si="5"/>
        <v>7.4652547629530899E-2</v>
      </c>
      <c r="Q38">
        <f t="shared" si="6"/>
        <v>6.6016473262040132E-2</v>
      </c>
      <c r="R38">
        <f t="shared" si="7"/>
        <v>4.6620082467026092E-2</v>
      </c>
      <c r="S38">
        <f t="shared" si="8"/>
        <v>1.4050366594751802E+33</v>
      </c>
    </row>
    <row r="39" spans="1:19" x14ac:dyDescent="0.2">
      <c r="A39" t="s">
        <v>11</v>
      </c>
      <c r="B39" t="s">
        <v>50</v>
      </c>
      <c r="C39">
        <v>0.37984039799158098</v>
      </c>
      <c r="D39">
        <v>0.24464385340711001</v>
      </c>
      <c r="E39">
        <v>0.53799706223131505</v>
      </c>
      <c r="F39">
        <v>0.446791679688328</v>
      </c>
      <c r="G39">
        <v>0.249418628350038</v>
      </c>
      <c r="H39">
        <v>0.31658531643195298</v>
      </c>
      <c r="I39">
        <v>0.33834338302100903</v>
      </c>
      <c r="J39">
        <v>0.36460497294076799</v>
      </c>
      <c r="K39">
        <v>5.9296213857769597</v>
      </c>
      <c r="L39">
        <f t="shared" si="1"/>
        <v>1.8278105667580848E-2</v>
      </c>
      <c r="M39">
        <f t="shared" si="2"/>
        <v>2.5013530443439978E-2</v>
      </c>
      <c r="N39">
        <f t="shared" si="3"/>
        <v>4.4824741208371729E-3</v>
      </c>
      <c r="O39">
        <f t="shared" si="4"/>
        <v>1.7009837996431701E-2</v>
      </c>
      <c r="P39">
        <f t="shared" si="5"/>
        <v>4.0012053431151906E-3</v>
      </c>
      <c r="Q39">
        <f t="shared" si="6"/>
        <v>1.722002251467873E-3</v>
      </c>
      <c r="R39">
        <f t="shared" si="7"/>
        <v>2.3211817647893998E-4</v>
      </c>
      <c r="S39">
        <f t="shared" si="8"/>
        <v>30.800069012384057</v>
      </c>
    </row>
    <row r="40" spans="1:19" x14ac:dyDescent="0.2">
      <c r="A40" t="s">
        <v>11</v>
      </c>
      <c r="B40" t="s">
        <v>51</v>
      </c>
      <c r="C40">
        <v>0.492933105140197</v>
      </c>
      <c r="D40">
        <v>0.45528063786207301</v>
      </c>
      <c r="E40">
        <v>0.69798471345968605</v>
      </c>
      <c r="F40">
        <v>0.63362863247217205</v>
      </c>
      <c r="G40">
        <v>0.472295536140383</v>
      </c>
      <c r="H40">
        <v>0.38666431248524302</v>
      </c>
      <c r="I40">
        <v>0.41762616172439698</v>
      </c>
      <c r="J40">
        <v>0.35774553013278199</v>
      </c>
      <c r="K40" t="s">
        <v>13</v>
      </c>
      <c r="L40">
        <f t="shared" si="1"/>
        <v>1.4177082921301978E-3</v>
      </c>
      <c r="M40">
        <f t="shared" si="2"/>
        <v>4.204616207440915E-2</v>
      </c>
      <c r="N40">
        <f t="shared" si="3"/>
        <v>1.9795231411222539E-2</v>
      </c>
      <c r="O40">
        <f t="shared" si="4"/>
        <v>4.2590925422208401E-4</v>
      </c>
      <c r="P40">
        <f t="shared" si="5"/>
        <v>1.1293056292341602E-2</v>
      </c>
      <c r="Q40">
        <f t="shared" si="6"/>
        <v>5.6711357266305057E-3</v>
      </c>
      <c r="R40">
        <f t="shared" si="7"/>
        <v>1.8275680436385461E-2</v>
      </c>
      <c r="S40" t="e">
        <f t="shared" si="8"/>
        <v>#VALUE!</v>
      </c>
    </row>
    <row r="41" spans="1:19" x14ac:dyDescent="0.2">
      <c r="A41" t="s">
        <v>11</v>
      </c>
      <c r="B41" t="s">
        <v>52</v>
      </c>
      <c r="C41">
        <v>0.60068371265808795</v>
      </c>
      <c r="D41">
        <v>0.44786278786452699</v>
      </c>
      <c r="E41">
        <v>0.53461589915754804</v>
      </c>
      <c r="F41">
        <v>0.55856421784179699</v>
      </c>
      <c r="G41">
        <v>0.32370750081589</v>
      </c>
      <c r="H41">
        <v>0.43588568939299899</v>
      </c>
      <c r="I41">
        <v>0.44692365697549802</v>
      </c>
      <c r="J41">
        <v>0.51070073627854695</v>
      </c>
      <c r="K41">
        <v>1.10593445040661</v>
      </c>
      <c r="L41">
        <f t="shared" si="1"/>
        <v>2.3354235054759215E-2</v>
      </c>
      <c r="M41">
        <f t="shared" si="2"/>
        <v>4.3649559807421249E-3</v>
      </c>
      <c r="N41">
        <f t="shared" si="3"/>
        <v>1.774051843579561E-3</v>
      </c>
      <c r="O41">
        <f t="shared" si="4"/>
        <v>7.6715821926454111E-2</v>
      </c>
      <c r="P41">
        <f t="shared" si="5"/>
        <v>2.7158388472080804E-2</v>
      </c>
      <c r="Q41">
        <f t="shared" si="6"/>
        <v>2.3642154723513158E-2</v>
      </c>
      <c r="R41">
        <f t="shared" si="7"/>
        <v>8.0969360381210331E-3</v>
      </c>
      <c r="S41">
        <f t="shared" si="8"/>
        <v>0.25527830799542578</v>
      </c>
    </row>
    <row r="42" spans="1:19" x14ac:dyDescent="0.2">
      <c r="A42" t="s">
        <v>11</v>
      </c>
      <c r="B42" t="s">
        <v>53</v>
      </c>
      <c r="C42">
        <v>0.61290394423920902</v>
      </c>
      <c r="D42">
        <v>0.35598996472257399</v>
      </c>
      <c r="E42">
        <v>1.8225374682178499</v>
      </c>
      <c r="F42">
        <v>0.62330046353643298</v>
      </c>
      <c r="G42">
        <v>0.40382153106950203</v>
      </c>
      <c r="H42">
        <v>0.330408545737087</v>
      </c>
      <c r="I42">
        <v>0.36705902968683402</v>
      </c>
      <c r="J42">
        <v>0.29617327000327798</v>
      </c>
      <c r="K42">
        <v>0.40382289442303099</v>
      </c>
      <c r="L42">
        <f t="shared" si="1"/>
        <v>6.6004792871073956E-2</v>
      </c>
      <c r="M42">
        <f t="shared" si="2"/>
        <v>1.4632132623329852</v>
      </c>
      <c r="N42">
        <f t="shared" si="3"/>
        <v>1.0808761349755019E-4</v>
      </c>
      <c r="O42">
        <f t="shared" si="4"/>
        <v>4.3715455496868061E-2</v>
      </c>
      <c r="P42">
        <f t="shared" si="5"/>
        <v>7.9803650174872717E-2</v>
      </c>
      <c r="Q42">
        <f t="shared" si="6"/>
        <v>6.0439722011264567E-2</v>
      </c>
      <c r="R42">
        <f t="shared" si="7"/>
        <v>0.10031832000194747</v>
      </c>
      <c r="S42">
        <f t="shared" si="8"/>
        <v>4.3714885392235121E-2</v>
      </c>
    </row>
    <row r="43" spans="1:19" x14ac:dyDescent="0.2">
      <c r="A43" t="s">
        <v>11</v>
      </c>
      <c r="B43" t="s">
        <v>54</v>
      </c>
      <c r="C43">
        <v>0.18250950550228401</v>
      </c>
      <c r="D43">
        <v>-0.122519402243242</v>
      </c>
      <c r="E43">
        <v>0.29499420817022198</v>
      </c>
      <c r="F43">
        <v>0.29101932938388703</v>
      </c>
      <c r="G43">
        <v>0.114526492667358</v>
      </c>
      <c r="H43">
        <v>0.16512028617962399</v>
      </c>
      <c r="I43">
        <v>0.19689065125952601</v>
      </c>
      <c r="J43">
        <v>0.19004085735691001</v>
      </c>
      <c r="K43">
        <v>0.17087989359547301</v>
      </c>
      <c r="L43">
        <f t="shared" si="1"/>
        <v>9.3042634560428605E-2</v>
      </c>
      <c r="M43">
        <f t="shared" si="2"/>
        <v>1.2652808334294413E-2</v>
      </c>
      <c r="N43">
        <f t="shared" si="3"/>
        <v>1.1774381878816504E-2</v>
      </c>
      <c r="O43">
        <f t="shared" si="4"/>
        <v>4.6216900341137148E-3</v>
      </c>
      <c r="P43">
        <f t="shared" si="5"/>
        <v>3.0238494865157266E-4</v>
      </c>
      <c r="Q43">
        <f t="shared" si="6"/>
        <v>2.0681735329103966E-4</v>
      </c>
      <c r="R43">
        <f t="shared" si="7"/>
        <v>5.6721260758178499E-5</v>
      </c>
      <c r="S43">
        <f t="shared" si="8"/>
        <v>1.3524787310304016E-4</v>
      </c>
    </row>
    <row r="44" spans="1:19" x14ac:dyDescent="0.2">
      <c r="A44" t="s">
        <v>11</v>
      </c>
      <c r="B44" t="s">
        <v>55</v>
      </c>
      <c r="C44">
        <v>0.641166657741292</v>
      </c>
      <c r="D44">
        <v>0.37332549300193302</v>
      </c>
      <c r="E44">
        <v>2.7787242373304499</v>
      </c>
      <c r="F44">
        <v>0.67865033026955801</v>
      </c>
      <c r="G44">
        <v>0.42926805221047998</v>
      </c>
      <c r="H44">
        <v>0.34290780824656197</v>
      </c>
      <c r="I44">
        <v>0.37598855424071398</v>
      </c>
      <c r="J44">
        <v>0.30227410047680398</v>
      </c>
      <c r="K44">
        <v>0.42927595474945701</v>
      </c>
      <c r="L44">
        <f t="shared" si="1"/>
        <v>7.1738889528936436E-2</v>
      </c>
      <c r="M44">
        <f t="shared" si="2"/>
        <v>4.56915240605906</v>
      </c>
      <c r="N44">
        <f t="shared" si="3"/>
        <v>1.4050257062062841E-3</v>
      </c>
      <c r="O44">
        <f t="shared" si="4"/>
        <v>4.4901019025902683E-2</v>
      </c>
      <c r="P44">
        <f t="shared" si="5"/>
        <v>8.8958341301920013E-2</v>
      </c>
      <c r="Q44">
        <f t="shared" si="6"/>
        <v>7.0319426576163274E-2</v>
      </c>
      <c r="R44">
        <f t="shared" si="7"/>
        <v>0.1148481653692643</v>
      </c>
      <c r="S44">
        <f t="shared" si="8"/>
        <v>4.489767001437403E-2</v>
      </c>
    </row>
    <row r="45" spans="1:19" x14ac:dyDescent="0.2">
      <c r="A45" t="s">
        <v>11</v>
      </c>
      <c r="B45" t="s">
        <v>56</v>
      </c>
      <c r="C45">
        <v>0.57694606325751296</v>
      </c>
      <c r="D45">
        <v>0.43367040051371603</v>
      </c>
      <c r="E45">
        <v>1.4596004963314899</v>
      </c>
      <c r="F45">
        <v>0.61388634784535201</v>
      </c>
      <c r="G45">
        <v>0.41624668058188702</v>
      </c>
      <c r="H45">
        <v>0.31541969958417099</v>
      </c>
      <c r="I45">
        <v>0.35395202542760401</v>
      </c>
      <c r="J45">
        <v>0.27780136126820298</v>
      </c>
      <c r="K45">
        <v>0.41625157406680402</v>
      </c>
      <c r="L45">
        <f t="shared" si="1"/>
        <v>2.0527915534674243E-2</v>
      </c>
      <c r="M45">
        <f t="shared" si="2"/>
        <v>0.77907884822514362</v>
      </c>
      <c r="N45">
        <f t="shared" si="3"/>
        <v>1.3645846254305388E-3</v>
      </c>
      <c r="O45">
        <f t="shared" si="4"/>
        <v>2.582429159232727E-2</v>
      </c>
      <c r="P45">
        <f t="shared" si="5"/>
        <v>6.839603889620112E-2</v>
      </c>
      <c r="Q45">
        <f t="shared" si="6"/>
        <v>4.9726340907686864E-2</v>
      </c>
      <c r="R45">
        <f t="shared" si="7"/>
        <v>8.9487552728273079E-2</v>
      </c>
      <c r="S45">
        <f t="shared" si="8"/>
        <v>2.5822718856262875E-2</v>
      </c>
    </row>
    <row r="46" spans="1:19" x14ac:dyDescent="0.2">
      <c r="A46" t="s">
        <v>11</v>
      </c>
      <c r="B46" t="s">
        <v>57</v>
      </c>
      <c r="C46">
        <v>0.59766416445104398</v>
      </c>
      <c r="D46">
        <v>0.25763920775453097</v>
      </c>
      <c r="E46">
        <v>1.1923505280711799</v>
      </c>
      <c r="F46">
        <v>0.61631150568687099</v>
      </c>
      <c r="G46">
        <v>0.41133103085791001</v>
      </c>
      <c r="H46">
        <v>0.36533091774880999</v>
      </c>
      <c r="I46">
        <v>0.39814536212984097</v>
      </c>
      <c r="J46">
        <v>0.34086457906328599</v>
      </c>
      <c r="K46">
        <v>0.411331030375087</v>
      </c>
      <c r="L46">
        <f t="shared" si="1"/>
        <v>0.11561697117646555</v>
      </c>
      <c r="M46">
        <f t="shared" si="2"/>
        <v>0.35365187107574053</v>
      </c>
      <c r="N46">
        <f t="shared" si="3"/>
        <v>3.4772333516537433E-4</v>
      </c>
      <c r="O46">
        <f t="shared" si="4"/>
        <v>3.472003667463671E-2</v>
      </c>
      <c r="P46">
        <f t="shared" si="5"/>
        <v>5.397873752320112E-2</v>
      </c>
      <c r="Q46">
        <f t="shared" si="6"/>
        <v>3.9807752479687278E-2</v>
      </c>
      <c r="R46">
        <f t="shared" si="7"/>
        <v>6.5946027055324402E-2</v>
      </c>
      <c r="S46">
        <f t="shared" si="8"/>
        <v>3.4720036854568558E-2</v>
      </c>
    </row>
    <row r="47" spans="1:19" x14ac:dyDescent="0.2">
      <c r="A47" t="s">
        <v>11</v>
      </c>
      <c r="B47" t="s">
        <v>58</v>
      </c>
      <c r="C47">
        <v>0.47759856630626502</v>
      </c>
      <c r="D47">
        <v>0.34533446094371101</v>
      </c>
      <c r="E47">
        <v>0.49347901112244202</v>
      </c>
      <c r="F47">
        <v>0.49602123026253497</v>
      </c>
      <c r="G47">
        <v>0.390007836130147</v>
      </c>
      <c r="H47">
        <v>0.33994373953506102</v>
      </c>
      <c r="I47">
        <v>0.374901229802793</v>
      </c>
      <c r="J47">
        <v>0.32145101509283802</v>
      </c>
      <c r="K47" t="s">
        <v>13</v>
      </c>
      <c r="L47">
        <f t="shared" si="1"/>
        <v>1.7493793567356787E-2</v>
      </c>
      <c r="M47">
        <f t="shared" si="2"/>
        <v>2.5218852755964319E-4</v>
      </c>
      <c r="N47">
        <f t="shared" si="3"/>
        <v>3.3939454724564823E-4</v>
      </c>
      <c r="O47">
        <f t="shared" si="4"/>
        <v>7.6721360127855109E-3</v>
      </c>
      <c r="P47">
        <f t="shared" si="5"/>
        <v>1.8948851333410181E-2</v>
      </c>
      <c r="Q47">
        <f t="shared" si="6"/>
        <v>1.0546742924907366E-2</v>
      </c>
      <c r="R47">
        <f t="shared" si="7"/>
        <v>2.4382057749949806E-2</v>
      </c>
      <c r="S47" t="e">
        <f t="shared" si="8"/>
        <v>#VALUE!</v>
      </c>
    </row>
    <row r="48" spans="1:19" x14ac:dyDescent="0.2">
      <c r="A48" t="s">
        <v>11</v>
      </c>
      <c r="B48" t="s">
        <v>59</v>
      </c>
      <c r="C48">
        <v>0.59876204663258104</v>
      </c>
      <c r="D48">
        <v>0.52799673635318201</v>
      </c>
      <c r="E48">
        <v>0.85210293720214902</v>
      </c>
      <c r="F48">
        <v>0.71403343827057397</v>
      </c>
      <c r="G48">
        <v>0.52883870440831404</v>
      </c>
      <c r="H48">
        <v>0.58438785246033398</v>
      </c>
      <c r="I48">
        <v>0.59307168865814697</v>
      </c>
      <c r="J48">
        <v>0.64166456805273897</v>
      </c>
      <c r="K48">
        <v>1.30717821717023</v>
      </c>
      <c r="L48">
        <f t="shared" si="1"/>
        <v>5.0077291389396183E-3</v>
      </c>
      <c r="M48">
        <f t="shared" si="2"/>
        <v>6.4181606834581822E-2</v>
      </c>
      <c r="N48">
        <f t="shared" si="3"/>
        <v>1.3287493730159548E-2</v>
      </c>
      <c r="O48">
        <f t="shared" si="4"/>
        <v>4.8892737878119593E-3</v>
      </c>
      <c r="P48">
        <f t="shared" si="5"/>
        <v>2.0661745810146126E-4</v>
      </c>
      <c r="Q48">
        <f t="shared" si="6"/>
        <v>3.2380173877205391E-5</v>
      </c>
      <c r="R48">
        <f t="shared" si="7"/>
        <v>1.8406263442071105E-3</v>
      </c>
      <c r="S48">
        <f t="shared" si="8"/>
        <v>0.50185347067922725</v>
      </c>
    </row>
    <row r="49" spans="1:19" x14ac:dyDescent="0.2">
      <c r="A49" t="s">
        <v>11</v>
      </c>
      <c r="B49" t="s">
        <v>60</v>
      </c>
      <c r="C49">
        <v>0.37148286407731801</v>
      </c>
      <c r="D49">
        <v>0.28092415568363499</v>
      </c>
      <c r="E49">
        <v>0.57946201852016899</v>
      </c>
      <c r="F49">
        <v>0.455497890217402</v>
      </c>
      <c r="G49">
        <v>0.27749248477869898</v>
      </c>
      <c r="H49">
        <v>0.31400479024295502</v>
      </c>
      <c r="I49">
        <v>0.337843731125747</v>
      </c>
      <c r="J49">
        <v>0.34935110827496502</v>
      </c>
      <c r="K49">
        <v>19.203804818072999</v>
      </c>
      <c r="L49">
        <f t="shared" si="1"/>
        <v>8.2008796659321145E-3</v>
      </c>
      <c r="M49">
        <f t="shared" si="2"/>
        <v>4.3255328682763258E-2</v>
      </c>
      <c r="N49">
        <f t="shared" si="3"/>
        <v>7.0585246173189963E-3</v>
      </c>
      <c r="O49">
        <f t="shared" si="4"/>
        <v>8.8341914006982731E-3</v>
      </c>
      <c r="P49">
        <f t="shared" si="5"/>
        <v>3.3037289717084829E-3</v>
      </c>
      <c r="Q49">
        <f t="shared" si="6"/>
        <v>1.1315912657334701E-3</v>
      </c>
      <c r="R49">
        <f t="shared" si="7"/>
        <v>4.8981461489498539E-4</v>
      </c>
      <c r="S49">
        <f t="shared" si="8"/>
        <v>354.65635017894772</v>
      </c>
    </row>
    <row r="50" spans="1:19" x14ac:dyDescent="0.2">
      <c r="A50" t="s">
        <v>11</v>
      </c>
      <c r="B50" t="s">
        <v>61</v>
      </c>
      <c r="C50">
        <v>0.48782566350798701</v>
      </c>
      <c r="D50">
        <v>9.7609028922869004E-2</v>
      </c>
      <c r="E50">
        <v>0.360984124604177</v>
      </c>
      <c r="F50">
        <v>0.36312510706655698</v>
      </c>
      <c r="G50">
        <v>0.13865968577655599</v>
      </c>
      <c r="H50">
        <v>0.232386819124035</v>
      </c>
      <c r="I50">
        <v>0.248773214650955</v>
      </c>
      <c r="J50">
        <v>0.31085744762260398</v>
      </c>
      <c r="K50">
        <v>0.91943991622928301</v>
      </c>
      <c r="L50">
        <f t="shared" si="1"/>
        <v>0.15226902190693553</v>
      </c>
      <c r="M50">
        <f t="shared" si="2"/>
        <v>1.6088775991486746E-2</v>
      </c>
      <c r="N50">
        <f t="shared" si="3"/>
        <v>1.5550228776802275E-2</v>
      </c>
      <c r="O50">
        <f t="shared" si="4"/>
        <v>0.12191688000514617</v>
      </c>
      <c r="P50">
        <f t="shared" si="5"/>
        <v>6.5249003220208865E-2</v>
      </c>
      <c r="Q50">
        <f t="shared" si="6"/>
        <v>5.7146073304543903E-2</v>
      </c>
      <c r="R50">
        <f t="shared" si="7"/>
        <v>3.1317749433655534E-2</v>
      </c>
      <c r="S50">
        <f t="shared" si="8"/>
        <v>0.18629086315216278</v>
      </c>
    </row>
    <row r="51" spans="1:19" x14ac:dyDescent="0.2">
      <c r="A51" t="s">
        <v>11</v>
      </c>
      <c r="B51" t="s">
        <v>62</v>
      </c>
      <c r="C51">
        <v>0.443139218418447</v>
      </c>
      <c r="D51">
        <v>8.8289895209433297E-2</v>
      </c>
      <c r="E51">
        <v>0.37422866485081502</v>
      </c>
      <c r="F51">
        <v>0.375837017851816</v>
      </c>
      <c r="G51">
        <v>0.24284363523170599</v>
      </c>
      <c r="H51">
        <v>0.23107272171461099</v>
      </c>
      <c r="I51">
        <v>0.26910391481740198</v>
      </c>
      <c r="J51">
        <v>0.221538673411736</v>
      </c>
      <c r="K51">
        <v>0.24284363536606701</v>
      </c>
      <c r="L51">
        <f t="shared" si="1"/>
        <v>0.12591804218189506</v>
      </c>
      <c r="M51">
        <f t="shared" si="2"/>
        <v>4.7486643929974771E-3</v>
      </c>
      <c r="N51">
        <f t="shared" si="3"/>
        <v>4.5295862011110258E-3</v>
      </c>
      <c r="O51">
        <f t="shared" si="4"/>
        <v>4.011832064411669E-2</v>
      </c>
      <c r="P51">
        <f t="shared" si="5"/>
        <v>4.4972199024238088E-2</v>
      </c>
      <c r="Q51">
        <f t="shared" si="6"/>
        <v>3.0288286899507914E-2</v>
      </c>
      <c r="R51">
        <f t="shared" si="7"/>
        <v>4.9106801547271352E-2</v>
      </c>
      <c r="S51">
        <f t="shared" si="8"/>
        <v>4.0118320590292848E-2</v>
      </c>
    </row>
    <row r="52" spans="1:19" x14ac:dyDescent="0.2">
      <c r="A52" t="s">
        <v>11</v>
      </c>
      <c r="B52" t="s">
        <v>63</v>
      </c>
      <c r="C52">
        <v>0.14467253180121101</v>
      </c>
      <c r="D52">
        <v>-0.17722239248063301</v>
      </c>
      <c r="E52">
        <v>0.33484418368360302</v>
      </c>
      <c r="F52">
        <v>0.18411984908827</v>
      </c>
      <c r="G52">
        <v>0.10992616729917</v>
      </c>
      <c r="H52">
        <v>0.104499669836752</v>
      </c>
      <c r="I52">
        <v>0.14839620817627699</v>
      </c>
      <c r="J52">
        <v>8.1506172417615694E-2</v>
      </c>
      <c r="K52">
        <v>0.10992620394814601</v>
      </c>
      <c r="L52">
        <f t="shared" si="1"/>
        <v>0.1036163422784141</v>
      </c>
      <c r="M52">
        <f t="shared" si="2"/>
        <v>3.6165257179677696E-2</v>
      </c>
      <c r="N52">
        <f t="shared" si="3"/>
        <v>1.5560908411459036E-3</v>
      </c>
      <c r="O52">
        <f t="shared" si="4"/>
        <v>1.2073098461086954E-3</v>
      </c>
      <c r="P52">
        <f t="shared" si="5"/>
        <v>1.6138588384154769E-3</v>
      </c>
      <c r="Q52">
        <f t="shared" si="6"/>
        <v>1.3865765746224572E-5</v>
      </c>
      <c r="R52">
        <f t="shared" si="7"/>
        <v>3.9899889577775195E-3</v>
      </c>
      <c r="S52">
        <f t="shared" si="8"/>
        <v>1.2073072992726808E-3</v>
      </c>
    </row>
    <row r="53" spans="1:19" x14ac:dyDescent="0.2">
      <c r="A53" t="s">
        <v>64</v>
      </c>
      <c r="B53" t="s">
        <v>12</v>
      </c>
      <c r="C53">
        <v>0.39467004276703999</v>
      </c>
      <c r="D53">
        <v>-0.36105783447086098</v>
      </c>
      <c r="E53">
        <v>0.37413256919534599</v>
      </c>
      <c r="F53">
        <v>0.270126199713357</v>
      </c>
      <c r="G53">
        <v>0.13214224260615801</v>
      </c>
      <c r="H53">
        <v>0.124337691865641</v>
      </c>
      <c r="I53">
        <v>0.16677734271076899</v>
      </c>
      <c r="J53">
        <v>0.114447666820361</v>
      </c>
      <c r="K53">
        <v>0.13214316849621599</v>
      </c>
      <c r="L53">
        <f t="shared" si="1"/>
        <v>0.57112462443450396</v>
      </c>
      <c r="M53">
        <f t="shared" si="2"/>
        <v>4.2178782070802944E-4</v>
      </c>
      <c r="N53">
        <f t="shared" si="3"/>
        <v>1.5511168842580421E-2</v>
      </c>
      <c r="O53">
        <f t="shared" si="4"/>
        <v>6.8920845857311966E-2</v>
      </c>
      <c r="P53">
        <f t="shared" si="5"/>
        <v>7.3079579943877093E-2</v>
      </c>
      <c r="Q53">
        <f t="shared" si="6"/>
        <v>5.1935082738937495E-2</v>
      </c>
      <c r="R53">
        <f t="shared" si="7"/>
        <v>7.8524579981201895E-2</v>
      </c>
      <c r="S53">
        <f t="shared" si="8"/>
        <v>6.8920359714409032E-2</v>
      </c>
    </row>
    <row r="54" spans="1:19" x14ac:dyDescent="0.2">
      <c r="A54" t="s">
        <v>64</v>
      </c>
      <c r="B54" t="s">
        <v>14</v>
      </c>
      <c r="C54">
        <v>0.18945868918408901</v>
      </c>
      <c r="D54">
        <v>-0.16755697994090199</v>
      </c>
      <c r="E54">
        <v>0.105603970681221</v>
      </c>
      <c r="F54">
        <v>0.157601573194591</v>
      </c>
      <c r="G54">
        <v>0.16319500747162599</v>
      </c>
      <c r="H54">
        <v>6.7832127139332999E-3</v>
      </c>
      <c r="I54">
        <v>4.5061676731887601E-2</v>
      </c>
      <c r="J54">
        <v>1.9886439914540001E-4</v>
      </c>
      <c r="K54">
        <v>0.16392988464131</v>
      </c>
      <c r="L54">
        <f t="shared" si="1"/>
        <v>0.12746018800076506</v>
      </c>
      <c r="M54">
        <f t="shared" si="2"/>
        <v>7.0316138151952342E-3</v>
      </c>
      <c r="N54">
        <f t="shared" si="3"/>
        <v>1.0148758391683294E-3</v>
      </c>
      <c r="O54">
        <f t="shared" si="4"/>
        <v>6.8978097709356423E-4</v>
      </c>
      <c r="P54">
        <f t="shared" si="5"/>
        <v>3.3370329703598406E-2</v>
      </c>
      <c r="Q54">
        <f t="shared" si="6"/>
        <v>2.0850497205121207E-2</v>
      </c>
      <c r="R54">
        <f t="shared" si="7"/>
        <v>3.5819281277627554E-2</v>
      </c>
      <c r="S54">
        <f t="shared" si="8"/>
        <v>6.5171986138341396E-4</v>
      </c>
    </row>
    <row r="55" spans="1:19" x14ac:dyDescent="0.2">
      <c r="A55" t="s">
        <v>64</v>
      </c>
      <c r="B55" t="s">
        <v>15</v>
      </c>
      <c r="C55">
        <v>0.53441216416866899</v>
      </c>
      <c r="D55">
        <v>0.44770149211024302</v>
      </c>
      <c r="E55">
        <v>0.68473741862362403</v>
      </c>
      <c r="F55">
        <v>0.46510800666625302</v>
      </c>
      <c r="G55">
        <v>0.31354454390943798</v>
      </c>
      <c r="H55">
        <v>0.33032810905064802</v>
      </c>
      <c r="I55">
        <v>0.35423731380374901</v>
      </c>
      <c r="J55">
        <v>0.355225315890767</v>
      </c>
      <c r="K55" s="1">
        <v>5.4055938287779003E+96</v>
      </c>
      <c r="L55">
        <f t="shared" si="1"/>
        <v>7.5187406488238951E-3</v>
      </c>
      <c r="M55">
        <f t="shared" si="2"/>
        <v>2.2597682126946978E-2</v>
      </c>
      <c r="N55">
        <f t="shared" si="3"/>
        <v>4.8030662471196806E-3</v>
      </c>
      <c r="O55">
        <f t="shared" si="4"/>
        <v>4.8782505678975872E-2</v>
      </c>
      <c r="P55">
        <f t="shared" si="5"/>
        <v>4.1650301553415418E-2</v>
      </c>
      <c r="Q55">
        <f t="shared" si="6"/>
        <v>3.2462976704021304E-2</v>
      </c>
      <c r="R55">
        <f t="shared" si="7"/>
        <v>3.2107926595767868E-2</v>
      </c>
      <c r="S55">
        <f t="shared" si="8"/>
        <v>2.9220444641721718E+193</v>
      </c>
    </row>
    <row r="56" spans="1:19" x14ac:dyDescent="0.2">
      <c r="A56" t="s">
        <v>64</v>
      </c>
      <c r="B56" t="s">
        <v>16</v>
      </c>
      <c r="C56">
        <v>0.175640823777268</v>
      </c>
      <c r="D56">
        <v>-0.124055314447072</v>
      </c>
      <c r="E56">
        <v>0.22455743304762199</v>
      </c>
      <c r="F56">
        <v>0.15631945167572101</v>
      </c>
      <c r="G56">
        <v>0.136511503801548</v>
      </c>
      <c r="H56">
        <v>7.6490396814429706E-2</v>
      </c>
      <c r="I56">
        <v>0.123181683942531</v>
      </c>
      <c r="J56">
        <v>2.5734491170505601E-2</v>
      </c>
      <c r="K56">
        <v>0.136513539518405</v>
      </c>
      <c r="L56">
        <f t="shared" si="1"/>
        <v>8.9817775266582703E-2</v>
      </c>
      <c r="M56">
        <f t="shared" si="2"/>
        <v>2.3928346625084816E-3</v>
      </c>
      <c r="N56">
        <f t="shared" si="3"/>
        <v>3.7331541988643859E-4</v>
      </c>
      <c r="O56">
        <f t="shared" si="4"/>
        <v>1.5311036817622803E-3</v>
      </c>
      <c r="P56">
        <f t="shared" si="5"/>
        <v>9.8308071669131313E-3</v>
      </c>
      <c r="Q56">
        <f t="shared" si="6"/>
        <v>2.7519613522004908E-3</v>
      </c>
      <c r="R56">
        <f t="shared" si="7"/>
        <v>2.2471908555609273E-2</v>
      </c>
      <c r="S56">
        <f t="shared" si="8"/>
        <v>1.5309443734738682E-3</v>
      </c>
    </row>
    <row r="57" spans="1:19" x14ac:dyDescent="0.2">
      <c r="A57" t="s">
        <v>64</v>
      </c>
      <c r="B57" t="s">
        <v>17</v>
      </c>
      <c r="C57">
        <v>0.303954538975237</v>
      </c>
      <c r="D57">
        <v>0.24291686913796701</v>
      </c>
      <c r="E57">
        <v>0.61130747133233598</v>
      </c>
      <c r="F57">
        <v>0.49233712758095599</v>
      </c>
      <c r="G57">
        <v>0.355835463804902</v>
      </c>
      <c r="H57">
        <v>0.36755416864488699</v>
      </c>
      <c r="I57">
        <v>0.39642073032455499</v>
      </c>
      <c r="J57">
        <v>0.36245102134716001</v>
      </c>
      <c r="K57">
        <v>1.47399177199389</v>
      </c>
      <c r="L57">
        <f t="shared" si="1"/>
        <v>3.7255971391635789E-3</v>
      </c>
      <c r="M57">
        <f t="shared" si="2"/>
        <v>9.4465825028507464E-2</v>
      </c>
      <c r="N57">
        <f t="shared" si="3"/>
        <v>3.548799968979157E-2</v>
      </c>
      <c r="O57">
        <f t="shared" si="4"/>
        <v>2.69163036118135E-3</v>
      </c>
      <c r="P57">
        <f t="shared" si="5"/>
        <v>4.044912894116624E-3</v>
      </c>
      <c r="Q57">
        <f t="shared" si="6"/>
        <v>8.5499965426486906E-3</v>
      </c>
      <c r="R57">
        <f t="shared" si="7"/>
        <v>3.4218384498886992E-3</v>
      </c>
      <c r="S57">
        <f t="shared" si="8"/>
        <v>1.3689871266499458</v>
      </c>
    </row>
    <row r="58" spans="1:19" x14ac:dyDescent="0.2">
      <c r="A58" t="s">
        <v>64</v>
      </c>
      <c r="B58" t="s">
        <v>18</v>
      </c>
      <c r="C58">
        <v>0.107554161325536</v>
      </c>
      <c r="D58">
        <v>-7.1687527764179498E-2</v>
      </c>
      <c r="E58">
        <v>0.524002290772699</v>
      </c>
      <c r="F58">
        <v>0.27836478553453903</v>
      </c>
      <c r="G58">
        <v>0.10449299646547799</v>
      </c>
      <c r="H58">
        <v>0.168873441557332</v>
      </c>
      <c r="I58">
        <v>0.19598477718533899</v>
      </c>
      <c r="J58">
        <v>0.20645396313544601</v>
      </c>
      <c r="K58">
        <v>0.18531352140091201</v>
      </c>
      <c r="L58">
        <f t="shared" si="1"/>
        <v>3.2127583107734232E-2</v>
      </c>
      <c r="M58">
        <f t="shared" si="2"/>
        <v>0.17342904452004104</v>
      </c>
      <c r="N58">
        <f t="shared" si="3"/>
        <v>2.9176269342669252E-2</v>
      </c>
      <c r="O58">
        <f t="shared" si="4"/>
        <v>9.3707303004539285E-6</v>
      </c>
      <c r="P58">
        <f t="shared" si="5"/>
        <v>3.7600541281455281E-3</v>
      </c>
      <c r="Q58">
        <f t="shared" si="6"/>
        <v>7.8199738213440406E-3</v>
      </c>
      <c r="R58">
        <f t="shared" si="7"/>
        <v>9.7811707980394787E-3</v>
      </c>
      <c r="S58">
        <f t="shared" si="8"/>
        <v>6.0465180793319809E-3</v>
      </c>
    </row>
    <row r="59" spans="1:19" x14ac:dyDescent="0.2">
      <c r="A59" t="s">
        <v>64</v>
      </c>
      <c r="B59" t="s">
        <v>19</v>
      </c>
      <c r="C59">
        <v>0.29195261081982499</v>
      </c>
      <c r="D59">
        <v>-3.1287152347987401E-2</v>
      </c>
      <c r="E59">
        <v>0.47169828116545798</v>
      </c>
      <c r="F59">
        <v>0.25312741264322502</v>
      </c>
      <c r="G59">
        <v>0.215739053151081</v>
      </c>
      <c r="H59">
        <v>9.0900496602894496E-2</v>
      </c>
      <c r="I59">
        <v>0.14284472285240701</v>
      </c>
      <c r="J59">
        <v>4.7102342969304399E-2</v>
      </c>
      <c r="K59">
        <v>0.21583056140531801</v>
      </c>
      <c r="L59">
        <f t="shared" si="1"/>
        <v>0.10448394449278345</v>
      </c>
      <c r="M59">
        <f t="shared" si="2"/>
        <v>3.2308506008000969E-2</v>
      </c>
      <c r="N59">
        <f t="shared" si="3"/>
        <v>1.507396013452261E-3</v>
      </c>
      <c r="O59">
        <f t="shared" si="4"/>
        <v>5.8085063725269665E-3</v>
      </c>
      <c r="P59">
        <f t="shared" si="5"/>
        <v>4.0421952631097657E-2</v>
      </c>
      <c r="Q59">
        <f t="shared" si="6"/>
        <v>2.2233162254104068E-2</v>
      </c>
      <c r="R59">
        <f t="shared" si="7"/>
        <v>5.995165366647167E-2</v>
      </c>
      <c r="S59">
        <f t="shared" si="8"/>
        <v>5.7945664070646425E-3</v>
      </c>
    </row>
    <row r="60" spans="1:19" x14ac:dyDescent="0.2">
      <c r="A60" t="s">
        <v>64</v>
      </c>
      <c r="B60" t="s">
        <v>20</v>
      </c>
      <c r="C60">
        <v>0.94736842105263097</v>
      </c>
      <c r="D60">
        <v>0.170932906881721</v>
      </c>
      <c r="E60">
        <v>0.26000979162617699</v>
      </c>
      <c r="F60">
        <v>0.25859651227981101</v>
      </c>
      <c r="G60">
        <v>0.13345284355480899</v>
      </c>
      <c r="H60">
        <v>0.119846683322905</v>
      </c>
      <c r="I60">
        <v>0.14131853954097201</v>
      </c>
      <c r="J60">
        <v>0.154946773248298</v>
      </c>
      <c r="K60" s="1">
        <v>3.5730596323430503E+104</v>
      </c>
      <c r="L60">
        <f t="shared" si="1"/>
        <v>0.60285210766584529</v>
      </c>
      <c r="M60">
        <f t="shared" si="2"/>
        <v>0.47246188544701329</v>
      </c>
      <c r="N60">
        <f t="shared" si="3"/>
        <v>0.47440674231455376</v>
      </c>
      <c r="O60">
        <f t="shared" si="4"/>
        <v>0.66245856729361297</v>
      </c>
      <c r="P60">
        <f t="shared" si="5"/>
        <v>0.6847922264152253</v>
      </c>
      <c r="Q60">
        <f t="shared" si="6"/>
        <v>0.64971641148495951</v>
      </c>
      <c r="R60">
        <f t="shared" si="7"/>
        <v>0.62793206790893441</v>
      </c>
      <c r="S60">
        <f t="shared" si="8"/>
        <v>1.2766755136279454E+209</v>
      </c>
    </row>
    <row r="61" spans="1:19" x14ac:dyDescent="0.2">
      <c r="A61" t="s">
        <v>64</v>
      </c>
      <c r="B61" t="s">
        <v>21</v>
      </c>
      <c r="C61">
        <v>0.71162280701586</v>
      </c>
      <c r="D61">
        <v>0.56621268086893894</v>
      </c>
      <c r="E61">
        <v>0.82313253797309605</v>
      </c>
      <c r="F61">
        <v>0.81846813064436696</v>
      </c>
      <c r="G61">
        <v>0.64042503903252201</v>
      </c>
      <c r="H61">
        <v>0.46030526273449901</v>
      </c>
      <c r="I61">
        <v>0.49843649405981</v>
      </c>
      <c r="J61">
        <v>0.33880923589446199</v>
      </c>
      <c r="K61">
        <v>0.64051716413740201</v>
      </c>
      <c r="L61">
        <f t="shared" si="1"/>
        <v>2.1144104786063496E-2</v>
      </c>
      <c r="M61">
        <f t="shared" si="2"/>
        <v>1.2434420098155166E-2</v>
      </c>
      <c r="N61">
        <f t="shared" si="3"/>
        <v>1.1415923181280388E-2</v>
      </c>
      <c r="O61">
        <f t="shared" si="4"/>
        <v>5.069122165809228E-3</v>
      </c>
      <c r="P61">
        <f t="shared" si="5"/>
        <v>6.3160508063613841E-2</v>
      </c>
      <c r="Q61">
        <f t="shared" si="6"/>
        <v>4.5448404031794898E-2</v>
      </c>
      <c r="R61">
        <f t="shared" si="7"/>
        <v>0.1389899588122897</v>
      </c>
      <c r="S61">
        <f t="shared" si="8"/>
        <v>5.0560124491588043E-3</v>
      </c>
    </row>
    <row r="62" spans="1:19" x14ac:dyDescent="0.2">
      <c r="A62" t="s">
        <v>64</v>
      </c>
      <c r="B62" t="s">
        <v>22</v>
      </c>
      <c r="C62">
        <v>0.55685613103424403</v>
      </c>
      <c r="D62">
        <v>0.184937466679409</v>
      </c>
      <c r="E62">
        <v>0.66813015478465898</v>
      </c>
      <c r="F62">
        <v>0.61404078321321498</v>
      </c>
      <c r="G62">
        <v>0.38097936702665303</v>
      </c>
      <c r="H62">
        <v>0.48579899806216098</v>
      </c>
      <c r="I62">
        <v>0.49657688316052701</v>
      </c>
      <c r="J62">
        <v>0.56428908073808404</v>
      </c>
      <c r="K62">
        <v>0.663593035948147</v>
      </c>
      <c r="L62">
        <f t="shared" si="1"/>
        <v>0.13832349289548443</v>
      </c>
      <c r="M62">
        <f t="shared" si="2"/>
        <v>1.2381908361607911E-2</v>
      </c>
      <c r="N62">
        <f t="shared" si="3"/>
        <v>3.2700844448298873E-3</v>
      </c>
      <c r="O62">
        <f t="shared" si="4"/>
        <v>3.0932636117781857E-2</v>
      </c>
      <c r="P62">
        <f t="shared" si="5"/>
        <v>5.0491161462122916E-3</v>
      </c>
      <c r="Q62">
        <f t="shared" si="6"/>
        <v>3.6335877242210184E-3</v>
      </c>
      <c r="R62">
        <f t="shared" si="7"/>
        <v>5.5248741299815264E-5</v>
      </c>
      <c r="S62">
        <f t="shared" si="8"/>
        <v>1.1392766870599565E-2</v>
      </c>
    </row>
    <row r="63" spans="1:19" x14ac:dyDescent="0.2">
      <c r="A63" t="s">
        <v>64</v>
      </c>
      <c r="B63" t="s">
        <v>23</v>
      </c>
      <c r="C63">
        <v>0.33354380152503299</v>
      </c>
      <c r="D63">
        <v>0.12747045057818501</v>
      </c>
      <c r="E63">
        <v>0.447800613730095</v>
      </c>
      <c r="F63">
        <v>0.30237407628764501</v>
      </c>
      <c r="G63">
        <v>0.209592536317631</v>
      </c>
      <c r="H63">
        <v>0.15379142770797399</v>
      </c>
      <c r="I63">
        <v>0.199789840394031</v>
      </c>
      <c r="J63">
        <v>0.13238651645249899</v>
      </c>
      <c r="K63" t="s">
        <v>13</v>
      </c>
      <c r="L63">
        <f t="shared" si="1"/>
        <v>4.2466225970462769E-2</v>
      </c>
      <c r="M63">
        <f t="shared" si="2"/>
        <v>1.3054619135262806E-2</v>
      </c>
      <c r="N63">
        <f t="shared" si="3"/>
        <v>9.7155177137426109E-4</v>
      </c>
      <c r="O63">
        <f t="shared" si="4"/>
        <v>1.5363916146515702E-2</v>
      </c>
      <c r="P63">
        <f t="shared" si="5"/>
        <v>3.231091589286772E-2</v>
      </c>
      <c r="Q63">
        <f t="shared" si="6"/>
        <v>1.7890122118233591E-2</v>
      </c>
      <c r="R63">
        <f t="shared" si="7"/>
        <v>4.0464253337752706E-2</v>
      </c>
      <c r="S63" t="e">
        <f t="shared" si="8"/>
        <v>#VALUE!</v>
      </c>
    </row>
    <row r="64" spans="1:19" x14ac:dyDescent="0.2">
      <c r="A64" t="s">
        <v>64</v>
      </c>
      <c r="B64" t="s">
        <v>24</v>
      </c>
      <c r="C64">
        <v>0.79591836732673205</v>
      </c>
      <c r="D64">
        <v>0.72446160137166504</v>
      </c>
      <c r="E64">
        <v>0.98420122767586804</v>
      </c>
      <c r="F64">
        <v>0.90401809610375605</v>
      </c>
      <c r="G64">
        <v>0.77686869644659995</v>
      </c>
      <c r="H64">
        <v>0.71714717486141399</v>
      </c>
      <c r="I64">
        <v>0.72741766797677998</v>
      </c>
      <c r="J64">
        <v>0.66264155222208498</v>
      </c>
      <c r="K64">
        <v>0.77688501381897901</v>
      </c>
      <c r="L64">
        <f t="shared" si="1"/>
        <v>5.106069400757223E-3</v>
      </c>
      <c r="M64">
        <f t="shared" si="2"/>
        <v>3.545043550125225E-2</v>
      </c>
      <c r="N64">
        <f t="shared" si="3"/>
        <v>1.1685551361666153E-2</v>
      </c>
      <c r="O64">
        <f t="shared" si="4"/>
        <v>3.6288996064135279E-4</v>
      </c>
      <c r="P64">
        <f t="shared" si="5"/>
        <v>6.2049007624081793E-3</v>
      </c>
      <c r="Q64">
        <f t="shared" si="6"/>
        <v>4.6923458114325233E-3</v>
      </c>
      <c r="R64">
        <f t="shared" si="7"/>
        <v>1.7762709444438279E-2</v>
      </c>
      <c r="S64">
        <f t="shared" si="8"/>
        <v>3.6226854575109482E-4</v>
      </c>
    </row>
    <row r="65" spans="1:19" x14ac:dyDescent="0.2">
      <c r="A65" t="s">
        <v>64</v>
      </c>
      <c r="B65" t="s">
        <v>25</v>
      </c>
      <c r="C65">
        <v>0.25748972367579198</v>
      </c>
      <c r="D65">
        <v>-0.34309006019803001</v>
      </c>
      <c r="E65">
        <v>0.18705730883199501</v>
      </c>
      <c r="F65">
        <v>0.245845998614561</v>
      </c>
      <c r="G65">
        <v>0.110441781519433</v>
      </c>
      <c r="H65">
        <v>0.14491193464727301</v>
      </c>
      <c r="I65">
        <v>0.1858803362233</v>
      </c>
      <c r="J65">
        <v>0.129849826594477</v>
      </c>
      <c r="K65">
        <v>0.110486797730141</v>
      </c>
      <c r="L65">
        <f t="shared" si="1"/>
        <v>0.36069607679792681</v>
      </c>
      <c r="M65">
        <f t="shared" si="2"/>
        <v>4.9607250607287129E-3</v>
      </c>
      <c r="N65">
        <f t="shared" si="3"/>
        <v>1.3557633330153854E-4</v>
      </c>
      <c r="O65">
        <f t="shared" si="4"/>
        <v>2.1623097292419895E-2</v>
      </c>
      <c r="P65">
        <f t="shared" si="5"/>
        <v>1.2673758582549727E-2</v>
      </c>
      <c r="Q65">
        <f t="shared" si="6"/>
        <v>5.1279043713211162E-3</v>
      </c>
      <c r="R65">
        <f t="shared" si="7"/>
        <v>1.6291943326928682E-2</v>
      </c>
      <c r="S65">
        <f t="shared" si="8"/>
        <v>2.1609860236582547E-2</v>
      </c>
    </row>
    <row r="66" spans="1:19" x14ac:dyDescent="0.2">
      <c r="A66" t="s">
        <v>64</v>
      </c>
      <c r="B66" t="s">
        <v>26</v>
      </c>
      <c r="C66">
        <v>0.20773516439465101</v>
      </c>
      <c r="D66">
        <v>0.14024032421882501</v>
      </c>
      <c r="E66">
        <v>0.43892115701870599</v>
      </c>
      <c r="F66">
        <v>0.32586673719909998</v>
      </c>
      <c r="G66">
        <v>0.29613311398331399</v>
      </c>
      <c r="H66">
        <v>0.23929293488242001</v>
      </c>
      <c r="I66">
        <v>0.28973329691822702</v>
      </c>
      <c r="J66">
        <v>0.15917486645399201</v>
      </c>
      <c r="K66">
        <v>0.29662869023614402</v>
      </c>
      <c r="L66">
        <f t="shared" si="1"/>
        <v>4.5555534503602946E-3</v>
      </c>
      <c r="M66">
        <f t="shared" si="2"/>
        <v>5.3446963185569601E-2</v>
      </c>
      <c r="N66">
        <f t="shared" si="3"/>
        <v>1.3955068493252827E-2</v>
      </c>
      <c r="O66">
        <f t="shared" si="4"/>
        <v>7.8141974914798015E-3</v>
      </c>
      <c r="P66">
        <f t="shared" si="5"/>
        <v>9.9589287815870435E-4</v>
      </c>
      <c r="Q66">
        <f t="shared" si="6"/>
        <v>6.7236937373539351E-3</v>
      </c>
      <c r="R66">
        <f t="shared" si="7"/>
        <v>2.3581025360855704E-3</v>
      </c>
      <c r="S66">
        <f t="shared" si="8"/>
        <v>7.9020589365321869E-3</v>
      </c>
    </row>
    <row r="67" spans="1:19" x14ac:dyDescent="0.2">
      <c r="A67" t="s">
        <v>64</v>
      </c>
      <c r="B67" t="s">
        <v>27</v>
      </c>
      <c r="C67">
        <v>0.21261219356119099</v>
      </c>
      <c r="D67">
        <v>-7.3413742659371506E-2</v>
      </c>
      <c r="E67">
        <v>0.33334922829980002</v>
      </c>
      <c r="F67">
        <v>0.23113625033165</v>
      </c>
      <c r="G67">
        <v>0.20597539622224401</v>
      </c>
      <c r="H67">
        <v>8.1543040862326693E-2</v>
      </c>
      <c r="I67">
        <v>0.14229018070576299</v>
      </c>
      <c r="J67">
        <v>2.4060014293859702E-2</v>
      </c>
      <c r="K67">
        <v>0.20997290894611301</v>
      </c>
      <c r="L67">
        <f t="shared" ref="L67:L130" si="9">(D67-$C67)^2</f>
        <v>8.1810836190849279E-2</v>
      </c>
      <c r="M67">
        <f t="shared" ref="M67:M130" si="10">(E67-$C67)^2</f>
        <v>1.4577431557472082E-2</v>
      </c>
      <c r="N67">
        <f t="shared" ref="N67:N130" si="11">(F67-$C67)^2</f>
        <v>3.4314067923518841E-4</v>
      </c>
      <c r="O67">
        <f t="shared" ref="O67:O130" si="12">(G67-$C67)^2</f>
        <v>4.4047078918253734E-5</v>
      </c>
      <c r="P67">
        <f t="shared" ref="P67:P130" si="13">(H67-$C67)^2</f>
        <v>1.7179122789198205E-2</v>
      </c>
      <c r="Q67">
        <f t="shared" ref="Q67:Q130" si="14">(I67-$C67)^2</f>
        <v>4.9451854920389803E-3</v>
      </c>
      <c r="R67">
        <f t="shared" ref="R67:R130" si="15">(J67-$C67)^2</f>
        <v>3.5551924306459835E-2</v>
      </c>
      <c r="S67">
        <f t="shared" ref="S67:S130" si="16">(K67-$C67)^2</f>
        <v>6.9658232793873225E-6</v>
      </c>
    </row>
    <row r="68" spans="1:19" x14ac:dyDescent="0.2">
      <c r="A68" t="s">
        <v>64</v>
      </c>
      <c r="B68" t="s">
        <v>28</v>
      </c>
      <c r="C68">
        <v>0.174500325567611</v>
      </c>
      <c r="D68">
        <v>6.1935450062389E-3</v>
      </c>
      <c r="E68">
        <v>0.340196555307895</v>
      </c>
      <c r="F68">
        <v>0.25189841065011598</v>
      </c>
      <c r="G68">
        <v>0.22758708650829401</v>
      </c>
      <c r="H68">
        <v>0.16322616824736599</v>
      </c>
      <c r="I68">
        <v>0.222056345393812</v>
      </c>
      <c r="J68">
        <v>8.5527125892889105E-2</v>
      </c>
      <c r="K68">
        <v>0.229107930814135</v>
      </c>
      <c r="L68">
        <f t="shared" si="9"/>
        <v>2.8327172382933863E-2</v>
      </c>
      <c r="M68">
        <f t="shared" si="10"/>
        <v>2.7455240550144977E-2</v>
      </c>
      <c r="N68">
        <f t="shared" si="11"/>
        <v>5.9904635744386803E-3</v>
      </c>
      <c r="O68">
        <f t="shared" si="12"/>
        <v>2.8182041871732278E-3</v>
      </c>
      <c r="P68">
        <f t="shared" si="13"/>
        <v>1.27106623281634E-4</v>
      </c>
      <c r="Q68">
        <f t="shared" si="14"/>
        <v>2.2615750217100227E-3</v>
      </c>
      <c r="R68">
        <f t="shared" si="15"/>
        <v>7.9162302603579312E-3</v>
      </c>
      <c r="S68">
        <f t="shared" si="16"/>
        <v>2.9819905507601956E-3</v>
      </c>
    </row>
    <row r="69" spans="1:19" x14ac:dyDescent="0.2">
      <c r="A69" t="s">
        <v>64</v>
      </c>
      <c r="B69" t="s">
        <v>31</v>
      </c>
      <c r="C69">
        <v>0.581799192899493</v>
      </c>
      <c r="D69">
        <v>-3.4118943662393001E-3</v>
      </c>
      <c r="E69">
        <v>0.62447843518335699</v>
      </c>
      <c r="F69">
        <v>0.52101738773583695</v>
      </c>
      <c r="G69">
        <v>0.34080863591173799</v>
      </c>
      <c r="H69">
        <v>0.38483880396769499</v>
      </c>
      <c r="I69">
        <v>0.41242188779599198</v>
      </c>
      <c r="J69">
        <v>0.393284439151876</v>
      </c>
      <c r="K69">
        <v>0.38577183208418198</v>
      </c>
      <c r="L69">
        <f t="shared" si="9"/>
        <v>0.34247201665874061</v>
      </c>
      <c r="M69">
        <f t="shared" si="10"/>
        <v>1.8215177219247643E-3</v>
      </c>
      <c r="N69">
        <f t="shared" si="11"/>
        <v>3.6944278389526458E-3</v>
      </c>
      <c r="O69">
        <f t="shared" si="12"/>
        <v>5.8076448557268394E-2</v>
      </c>
      <c r="P69">
        <f t="shared" si="13"/>
        <v>3.8793394808165141E-2</v>
      </c>
      <c r="Q69">
        <f t="shared" si="14"/>
        <v>2.8688671484124472E-2</v>
      </c>
      <c r="R69">
        <f t="shared" si="15"/>
        <v>3.5537812380524676E-2</v>
      </c>
      <c r="S69">
        <f t="shared" si="16"/>
        <v>3.8426726188216138E-2</v>
      </c>
    </row>
    <row r="70" spans="1:19" x14ac:dyDescent="0.2">
      <c r="A70" t="s">
        <v>64</v>
      </c>
      <c r="B70" t="s">
        <v>32</v>
      </c>
      <c r="C70">
        <v>4.3354552722025798E-2</v>
      </c>
      <c r="D70">
        <v>0.17155112329526401</v>
      </c>
      <c r="E70">
        <v>0.30702960630348802</v>
      </c>
      <c r="F70">
        <v>0.23395663203499001</v>
      </c>
      <c r="G70">
        <v>0.21890143605137299</v>
      </c>
      <c r="H70">
        <v>0.12655787265886501</v>
      </c>
      <c r="I70">
        <v>0.17571010461156999</v>
      </c>
      <c r="J70">
        <v>8.90472012995875E-2</v>
      </c>
      <c r="K70" t="s">
        <v>13</v>
      </c>
      <c r="L70">
        <f t="shared" si="9"/>
        <v>1.6434360706739246E-2</v>
      </c>
      <c r="M70">
        <f t="shared" si="10"/>
        <v>6.952453388118697E-2</v>
      </c>
      <c r="N70">
        <f t="shared" si="11"/>
        <v>3.6329152638425503E-2</v>
      </c>
      <c r="O70">
        <f t="shared" si="12"/>
        <v>3.081670824664744E-2</v>
      </c>
      <c r="P70">
        <f t="shared" si="13"/>
        <v>6.9227924485120258E-3</v>
      </c>
      <c r="Q70">
        <f t="shared" si="14"/>
        <v>1.7517992115985828E-2</v>
      </c>
      <c r="R70">
        <f t="shared" si="15"/>
        <v>2.0878181340325515E-3</v>
      </c>
      <c r="S70" t="e">
        <f t="shared" si="16"/>
        <v>#VALUE!</v>
      </c>
    </row>
    <row r="71" spans="1:19" x14ac:dyDescent="0.2">
      <c r="A71" t="s">
        <v>64</v>
      </c>
      <c r="B71" t="s">
        <v>33</v>
      </c>
      <c r="C71">
        <v>0.22584633720237701</v>
      </c>
      <c r="D71">
        <v>-0.387040863820244</v>
      </c>
      <c r="E71">
        <v>7.6188833348049906E-2</v>
      </c>
      <c r="F71">
        <v>5.47668922237926E-2</v>
      </c>
      <c r="G71">
        <v>5.0326292916334503E-2</v>
      </c>
      <c r="H71">
        <v>8.0314245399230998E-3</v>
      </c>
      <c r="I71">
        <v>2.8821517688929099E-2</v>
      </c>
      <c r="J71">
        <v>2.1732848239330001E-3</v>
      </c>
      <c r="K71">
        <v>5.18386160974642E-2</v>
      </c>
      <c r="L71">
        <f t="shared" si="9"/>
        <v>0.37563072117734259</v>
      </c>
      <c r="M71">
        <f t="shared" si="10"/>
        <v>2.2397368459907932E-2</v>
      </c>
      <c r="N71">
        <f t="shared" si="11"/>
        <v>2.9268176494180488E-2</v>
      </c>
      <c r="O71">
        <f t="shared" si="12"/>
        <v>3.0807285946174323E-2</v>
      </c>
      <c r="P71">
        <f t="shared" si="13"/>
        <v>4.7443336178152433E-2</v>
      </c>
      <c r="Q71">
        <f t="shared" si="14"/>
        <v>3.8818779504306726E-2</v>
      </c>
      <c r="R71">
        <f t="shared" si="15"/>
        <v>5.0029634360290155E-2</v>
      </c>
      <c r="S71">
        <f t="shared" si="16"/>
        <v>3.0278687004125115E-2</v>
      </c>
    </row>
    <row r="72" spans="1:19" x14ac:dyDescent="0.2">
      <c r="A72" t="s">
        <v>64</v>
      </c>
      <c r="B72" t="s">
        <v>34</v>
      </c>
      <c r="C72">
        <v>0.440603156180083</v>
      </c>
      <c r="D72">
        <v>-0.38635650107072</v>
      </c>
      <c r="E72">
        <v>7.0827427813593302E-2</v>
      </c>
      <c r="F72">
        <v>7.3838360102117806E-2</v>
      </c>
      <c r="G72">
        <v>6.91489020686957E-2</v>
      </c>
      <c r="H72">
        <v>1.6554198457864901E-2</v>
      </c>
      <c r="I72">
        <v>4.6618756028405199E-2</v>
      </c>
      <c r="J72">
        <v>5.1122320824781003E-3</v>
      </c>
      <c r="K72">
        <v>6.9151856694992603E-2</v>
      </c>
      <c r="L72">
        <f t="shared" si="9"/>
        <v>0.68386227472036554</v>
      </c>
      <c r="M72">
        <f t="shared" si="10"/>
        <v>0.13673408928896796</v>
      </c>
      <c r="N72">
        <f t="shared" si="11"/>
        <v>0.13451641564211139</v>
      </c>
      <c r="O72">
        <f t="shared" si="12"/>
        <v>0.13797826289744711</v>
      </c>
      <c r="P72">
        <f t="shared" si="13"/>
        <v>0.17981751854529954</v>
      </c>
      <c r="Q72">
        <f t="shared" si="14"/>
        <v>0.15522370756287737</v>
      </c>
      <c r="R72">
        <f t="shared" si="15"/>
        <v>0.18965234497138589</v>
      </c>
      <c r="S72">
        <f t="shared" si="16"/>
        <v>0.13797606788916231</v>
      </c>
    </row>
    <row r="73" spans="1:19" x14ac:dyDescent="0.2">
      <c r="A73" t="s">
        <v>64</v>
      </c>
      <c r="B73" t="s">
        <v>35</v>
      </c>
      <c r="C73">
        <v>6.6792809592163604E-2</v>
      </c>
      <c r="D73">
        <v>-0.12003519042510399</v>
      </c>
      <c r="E73">
        <v>0.50700886041165105</v>
      </c>
      <c r="F73">
        <v>0.19105149853171199</v>
      </c>
      <c r="G73">
        <v>0.144317628038964</v>
      </c>
      <c r="H73">
        <v>8.5254967509888896E-2</v>
      </c>
      <c r="I73">
        <v>0.138603247318249</v>
      </c>
      <c r="J73">
        <v>4.0943097116009401E-2</v>
      </c>
      <c r="K73">
        <v>0.14431611193046101</v>
      </c>
      <c r="L73">
        <f t="shared" si="9"/>
        <v>3.4904701590452142E-2</v>
      </c>
      <c r="M73">
        <f t="shared" si="10"/>
        <v>0.19379017139910557</v>
      </c>
      <c r="N73">
        <f t="shared" si="11"/>
        <v>1.5440221776975445E-2</v>
      </c>
      <c r="O73">
        <f t="shared" si="12"/>
        <v>6.010097475209363E-3</v>
      </c>
      <c r="P73">
        <f t="shared" si="13"/>
        <v>3.4085127497902667E-4</v>
      </c>
      <c r="Q73">
        <f t="shared" si="14"/>
        <v>5.1567389664119879E-3</v>
      </c>
      <c r="R73">
        <f t="shared" si="15"/>
        <v>6.6820763509984227E-4</v>
      </c>
      <c r="S73">
        <f t="shared" si="16"/>
        <v>6.0098624054350678E-3</v>
      </c>
    </row>
    <row r="74" spans="1:19" x14ac:dyDescent="0.2">
      <c r="A74" t="s">
        <v>64</v>
      </c>
      <c r="B74" t="s">
        <v>36</v>
      </c>
      <c r="C74">
        <v>0.151317680671685</v>
      </c>
      <c r="D74">
        <v>-6.6533463528418199E-2</v>
      </c>
      <c r="E74">
        <v>0.41301746301133402</v>
      </c>
      <c r="F74">
        <v>0.35139795002991803</v>
      </c>
      <c r="G74">
        <v>0.34322807828698199</v>
      </c>
      <c r="H74">
        <v>0.12813841650763999</v>
      </c>
      <c r="I74">
        <v>0.193856676283505</v>
      </c>
      <c r="J74">
        <v>5.4869925596204898E-2</v>
      </c>
      <c r="K74">
        <v>0.35059754719492597</v>
      </c>
      <c r="L74">
        <f t="shared" si="9"/>
        <v>4.7459121029294164E-2</v>
      </c>
      <c r="M74">
        <f t="shared" si="10"/>
        <v>6.8486776076619668E-2</v>
      </c>
      <c r="N74">
        <f t="shared" si="11"/>
        <v>4.0032114186463082E-2</v>
      </c>
      <c r="O74">
        <f t="shared" si="12"/>
        <v>3.6829600712861392E-2</v>
      </c>
      <c r="P74">
        <f t="shared" si="13"/>
        <v>5.3727828718658102E-4</v>
      </c>
      <c r="Q74">
        <f t="shared" si="14"/>
        <v>1.8095661476624418E-3</v>
      </c>
      <c r="R74">
        <f t="shared" si="15"/>
        <v>9.3021694590997954E-3</v>
      </c>
      <c r="S74">
        <f t="shared" si="16"/>
        <v>3.971246520152074E-2</v>
      </c>
    </row>
    <row r="75" spans="1:19" x14ac:dyDescent="0.2">
      <c r="A75" t="s">
        <v>64</v>
      </c>
      <c r="B75" t="s">
        <v>37</v>
      </c>
      <c r="C75">
        <v>0.57378180221216901</v>
      </c>
      <c r="D75">
        <v>0.12367676739036799</v>
      </c>
      <c r="E75">
        <v>0.32455873382650602</v>
      </c>
      <c r="F75">
        <v>0.30737407036175401</v>
      </c>
      <c r="G75">
        <v>0.145831851243968</v>
      </c>
      <c r="H75">
        <v>0.15877557527438299</v>
      </c>
      <c r="I75">
        <v>0.19319577013664899</v>
      </c>
      <c r="J75">
        <v>0.17962828355185401</v>
      </c>
      <c r="K75" t="s">
        <v>13</v>
      </c>
      <c r="L75">
        <f t="shared" si="9"/>
        <v>0.20259454237193472</v>
      </c>
      <c r="M75">
        <f t="shared" si="10"/>
        <v>6.2112137815564857E-2</v>
      </c>
      <c r="N75">
        <f t="shared" si="11"/>
        <v>7.0973079589682617E-2</v>
      </c>
      <c r="O75">
        <f t="shared" si="12"/>
        <v>0.18314116053368562</v>
      </c>
      <c r="P75">
        <f t="shared" si="13"/>
        <v>0.17223016839713712</v>
      </c>
      <c r="Q75">
        <f t="shared" si="14"/>
        <v>0.14484572781098873</v>
      </c>
      <c r="R75">
        <f t="shared" si="15"/>
        <v>0.15535699627230729</v>
      </c>
      <c r="S75" t="e">
        <f t="shared" si="16"/>
        <v>#VALUE!</v>
      </c>
    </row>
    <row r="76" spans="1:19" x14ac:dyDescent="0.2">
      <c r="A76" t="s">
        <v>64</v>
      </c>
      <c r="B76" t="s">
        <v>38</v>
      </c>
      <c r="C76">
        <v>0.31218266007405898</v>
      </c>
      <c r="D76">
        <v>-0.17540408815552599</v>
      </c>
      <c r="E76">
        <v>0.27027442127492002</v>
      </c>
      <c r="F76">
        <v>0.19415835577080001</v>
      </c>
      <c r="G76">
        <v>0.17487252259427599</v>
      </c>
      <c r="H76">
        <v>6.6775923740938103E-2</v>
      </c>
      <c r="I76">
        <v>0.118747294010488</v>
      </c>
      <c r="J76">
        <v>2.3205488519053599E-2</v>
      </c>
      <c r="K76">
        <v>0.185604472531155</v>
      </c>
      <c r="L76">
        <f t="shared" si="9"/>
        <v>0.23774083704910068</v>
      </c>
      <c r="M76">
        <f t="shared" si="10"/>
        <v>1.7563004792456563E-3</v>
      </c>
      <c r="N76">
        <f t="shared" si="11"/>
        <v>1.3929736406268274E-2</v>
      </c>
      <c r="O76">
        <f t="shared" si="12"/>
        <v>1.8854073854716904E-2</v>
      </c>
      <c r="P76">
        <f t="shared" si="13"/>
        <v>6.0224466237673913E-2</v>
      </c>
      <c r="Q76">
        <f t="shared" si="14"/>
        <v>3.7417240844147708E-2</v>
      </c>
      <c r="R76">
        <f t="shared" si="15"/>
        <v>8.3507805679931033E-2</v>
      </c>
      <c r="S76">
        <f t="shared" si="16"/>
        <v>1.6022037561646572E-2</v>
      </c>
    </row>
    <row r="77" spans="1:19" x14ac:dyDescent="0.2">
      <c r="A77" t="s">
        <v>64</v>
      </c>
      <c r="B77" t="s">
        <v>39</v>
      </c>
      <c r="C77">
        <v>4.9224369376858798E-2</v>
      </c>
      <c r="D77">
        <v>0.10888734583714101</v>
      </c>
      <c r="E77">
        <v>0.45658288490277799</v>
      </c>
      <c r="F77">
        <v>0.38788628902104899</v>
      </c>
      <c r="G77">
        <v>0.37482695728423499</v>
      </c>
      <c r="H77">
        <v>0.20958190616563599</v>
      </c>
      <c r="I77">
        <v>0.26974338224306799</v>
      </c>
      <c r="J77">
        <v>0.119603405244643</v>
      </c>
      <c r="K77">
        <v>0.38800856562964398</v>
      </c>
      <c r="L77">
        <f t="shared" si="9"/>
        <v>3.559670760100189E-3</v>
      </c>
      <c r="M77">
        <f t="shared" si="10"/>
        <v>0.16594096017148052</v>
      </c>
      <c r="N77">
        <f t="shared" si="11"/>
        <v>0.11469189581708793</v>
      </c>
      <c r="O77">
        <f t="shared" si="12"/>
        <v>0.10601704525198064</v>
      </c>
      <c r="P77">
        <f t="shared" si="13"/>
        <v>2.5714539604964025E-2</v>
      </c>
      <c r="Q77">
        <f t="shared" si="14"/>
        <v>4.8628635035487325E-2</v>
      </c>
      <c r="R77">
        <f t="shared" si="15"/>
        <v>4.9532086896788546E-3</v>
      </c>
      <c r="S77">
        <f t="shared" si="16"/>
        <v>0.11477473163064565</v>
      </c>
    </row>
    <row r="78" spans="1:19" x14ac:dyDescent="0.2">
      <c r="A78" t="s">
        <v>64</v>
      </c>
      <c r="B78" t="s">
        <v>40</v>
      </c>
      <c r="C78">
        <v>0.18036629985242</v>
      </c>
      <c r="D78">
        <v>-0.13561808227827901</v>
      </c>
      <c r="E78">
        <v>0.200870588736768</v>
      </c>
      <c r="F78">
        <v>0.17033377199941599</v>
      </c>
      <c r="G78">
        <v>0.15504556290739999</v>
      </c>
      <c r="H78">
        <v>7.8783401224587907E-2</v>
      </c>
      <c r="I78">
        <v>0.14014133062622999</v>
      </c>
      <c r="J78">
        <v>2.1359033447758202E-2</v>
      </c>
      <c r="K78">
        <v>0.15657302404569701</v>
      </c>
      <c r="L78">
        <f t="shared" si="9"/>
        <v>9.9846129750519624E-2</v>
      </c>
      <c r="M78">
        <f t="shared" si="10"/>
        <v>4.2042586265279668E-4</v>
      </c>
      <c r="N78">
        <f t="shared" si="11"/>
        <v>1.0065161512130133E-4</v>
      </c>
      <c r="O78">
        <f t="shared" si="12"/>
        <v>6.4113971943890167E-4</v>
      </c>
      <c r="P78">
        <f t="shared" si="13"/>
        <v>1.0319085293632412E-2</v>
      </c>
      <c r="Q78">
        <f t="shared" si="14"/>
        <v>1.6180481492479334E-3</v>
      </c>
      <c r="R78">
        <f t="shared" si="15"/>
        <v>2.5283310769483092E-2</v>
      </c>
      <c r="S78">
        <f t="shared" si="16"/>
        <v>5.6611997361478983E-4</v>
      </c>
    </row>
    <row r="79" spans="1:19" x14ac:dyDescent="0.2">
      <c r="A79" t="s">
        <v>64</v>
      </c>
      <c r="B79" t="s">
        <v>41</v>
      </c>
      <c r="C79">
        <v>0.28193760262068901</v>
      </c>
      <c r="D79">
        <v>0.21098232396970901</v>
      </c>
      <c r="E79">
        <v>0.735658654276796</v>
      </c>
      <c r="F79">
        <v>0.55111953642308897</v>
      </c>
      <c r="G79">
        <v>0.30449939283586103</v>
      </c>
      <c r="H79">
        <v>0.39614432261072702</v>
      </c>
      <c r="I79">
        <v>0.41776757348316601</v>
      </c>
      <c r="J79">
        <v>0.44057579979112199</v>
      </c>
      <c r="K79">
        <v>0.40925002514821501</v>
      </c>
      <c r="L79">
        <f t="shared" si="9"/>
        <v>5.0346515684382186E-3</v>
      </c>
      <c r="M79">
        <f t="shared" si="10"/>
        <v>0.2058627927159237</v>
      </c>
      <c r="N79">
        <f t="shared" si="11"/>
        <v>7.245891348559963E-2</v>
      </c>
      <c r="O79">
        <f t="shared" si="12"/>
        <v>5.0903437771343183E-4</v>
      </c>
      <c r="P79">
        <f t="shared" si="13"/>
        <v>1.3043174890882947E-2</v>
      </c>
      <c r="Q79">
        <f t="shared" si="14"/>
        <v>1.8449780984501351E-2</v>
      </c>
      <c r="R79">
        <f t="shared" si="15"/>
        <v>2.5166077601485169E-2</v>
      </c>
      <c r="S79">
        <f t="shared" si="16"/>
        <v>1.6208452929827311E-2</v>
      </c>
    </row>
    <row r="80" spans="1:19" x14ac:dyDescent="0.2">
      <c r="A80" t="s">
        <v>64</v>
      </c>
      <c r="B80" t="s">
        <v>42</v>
      </c>
      <c r="C80">
        <v>0.167587201713919</v>
      </c>
      <c r="D80">
        <v>7.9296095254995896E-2</v>
      </c>
      <c r="E80">
        <v>0.29030408991666401</v>
      </c>
      <c r="F80">
        <v>0.227711614229059</v>
      </c>
      <c r="G80">
        <v>0.21502456810576101</v>
      </c>
      <c r="H80">
        <v>7.6782929748566306E-2</v>
      </c>
      <c r="I80">
        <v>0.13324581390839799</v>
      </c>
      <c r="J80">
        <v>3.2348467554259998E-2</v>
      </c>
      <c r="K80">
        <v>0.28578563304196097</v>
      </c>
      <c r="L80">
        <f t="shared" si="9"/>
        <v>7.7953194797408931E-3</v>
      </c>
      <c r="M80">
        <f t="shared" si="10"/>
        <v>1.5059434650165017E-2</v>
      </c>
      <c r="N80">
        <f t="shared" si="11"/>
        <v>3.6149449802907237E-3</v>
      </c>
      <c r="O80">
        <f t="shared" si="12"/>
        <v>2.2503037301938619E-3</v>
      </c>
      <c r="P80">
        <f t="shared" si="13"/>
        <v>8.2454158071577372E-3</v>
      </c>
      <c r="Q80">
        <f t="shared" si="14"/>
        <v>1.1793309164091872E-3</v>
      </c>
      <c r="R80">
        <f t="shared" si="15"/>
        <v>1.8289515217106918E-2</v>
      </c>
      <c r="S80">
        <f t="shared" si="16"/>
        <v>1.3970869168409854E-2</v>
      </c>
    </row>
    <row r="81" spans="1:19" x14ac:dyDescent="0.2">
      <c r="A81" t="s">
        <v>64</v>
      </c>
      <c r="B81" t="s">
        <v>43</v>
      </c>
      <c r="C81">
        <v>0.145275860768042</v>
      </c>
      <c r="D81">
        <v>9.8136857357165996E-3</v>
      </c>
      <c r="E81">
        <v>0.68389529624899303</v>
      </c>
      <c r="F81">
        <v>0.25821972408737798</v>
      </c>
      <c r="G81">
        <v>0.196258180469886</v>
      </c>
      <c r="H81">
        <v>0.12741573406444701</v>
      </c>
      <c r="I81">
        <v>0.175195243234746</v>
      </c>
      <c r="J81">
        <v>9.96100576052526E-2</v>
      </c>
      <c r="K81">
        <v>0.19625655420773899</v>
      </c>
      <c r="L81">
        <f t="shared" si="9"/>
        <v>1.8350000864488365E-2</v>
      </c>
      <c r="M81">
        <f t="shared" si="10"/>
        <v>0.29011089627781839</v>
      </c>
      <c r="N81">
        <f t="shared" si="11"/>
        <v>1.2756316261496847E-2</v>
      </c>
      <c r="O81">
        <f t="shared" si="12"/>
        <v>2.5991969221810306E-3</v>
      </c>
      <c r="P81">
        <f t="shared" si="13"/>
        <v>3.1898412586846693E-4</v>
      </c>
      <c r="Q81">
        <f t="shared" si="14"/>
        <v>8.9516944718891493E-4</v>
      </c>
      <c r="R81">
        <f t="shared" si="15"/>
        <v>2.0853655785026261E-3</v>
      </c>
      <c r="S81">
        <f t="shared" si="16"/>
        <v>2.5990311035923642E-3</v>
      </c>
    </row>
    <row r="82" spans="1:19" x14ac:dyDescent="0.2">
      <c r="A82" t="s">
        <v>64</v>
      </c>
      <c r="B82" t="s">
        <v>44</v>
      </c>
      <c r="C82">
        <v>0.29193451925566299</v>
      </c>
      <c r="D82">
        <v>-0.226682150716596</v>
      </c>
      <c r="E82">
        <v>0.26665810073055701</v>
      </c>
      <c r="F82">
        <v>0.17888856340602799</v>
      </c>
      <c r="G82">
        <v>6.8630290314118103E-2</v>
      </c>
      <c r="H82">
        <v>7.3730860856431393E-2</v>
      </c>
      <c r="I82">
        <v>0.10574957473713199</v>
      </c>
      <c r="J82">
        <v>7.6703364224166695E-2</v>
      </c>
      <c r="K82">
        <v>7.3886768705149694E-2</v>
      </c>
      <c r="L82">
        <f t="shared" si="9"/>
        <v>0.26896325037311497</v>
      </c>
      <c r="M82">
        <f t="shared" si="10"/>
        <v>6.3889733345632086E-4</v>
      </c>
      <c r="N82">
        <f t="shared" si="11"/>
        <v>1.2779388133957627E-2</v>
      </c>
      <c r="O82">
        <f t="shared" si="12"/>
        <v>4.9864778663177893E-2</v>
      </c>
      <c r="P82">
        <f t="shared" si="13"/>
        <v>4.7612836538808559E-2</v>
      </c>
      <c r="Q82">
        <f t="shared" si="14"/>
        <v>3.4664833565368473E-2</v>
      </c>
      <c r="R82">
        <f t="shared" si="15"/>
        <v>4.6324450096192002E-2</v>
      </c>
      <c r="S82">
        <f t="shared" si="16"/>
        <v>4.754482152013887E-2</v>
      </c>
    </row>
    <row r="83" spans="1:19" x14ac:dyDescent="0.2">
      <c r="A83" t="s">
        <v>64</v>
      </c>
      <c r="B83" t="s">
        <v>45</v>
      </c>
      <c r="C83">
        <v>0.10078387817388799</v>
      </c>
      <c r="D83">
        <v>-4.4806870261958599E-2</v>
      </c>
      <c r="E83">
        <v>0.44054464953771599</v>
      </c>
      <c r="F83">
        <v>0.25483082872296098</v>
      </c>
      <c r="G83">
        <v>0.222382443556047</v>
      </c>
      <c r="H83">
        <v>8.8004457804153197E-2</v>
      </c>
      <c r="I83">
        <v>0.138796801264574</v>
      </c>
      <c r="J83">
        <v>4.6338948110727397E-2</v>
      </c>
      <c r="K83">
        <v>0.223280508548026</v>
      </c>
      <c r="L83">
        <f t="shared" si="9"/>
        <v>2.1196666030109969E-2</v>
      </c>
      <c r="M83">
        <f t="shared" si="10"/>
        <v>0.11543738175774339</v>
      </c>
      <c r="N83">
        <f t="shared" si="11"/>
        <v>2.3730462973468532E-2</v>
      </c>
      <c r="O83">
        <f t="shared" si="12"/>
        <v>1.4786211102999198E-2</v>
      </c>
      <c r="P83">
        <f t="shared" si="13"/>
        <v>1.6331358498639269E-4</v>
      </c>
      <c r="Q83">
        <f t="shared" si="14"/>
        <v>1.4449823218984092E-3</v>
      </c>
      <c r="R83">
        <f t="shared" si="15"/>
        <v>2.9642504095824486E-3</v>
      </c>
      <c r="S83">
        <f t="shared" si="16"/>
        <v>1.5005424453018191E-2</v>
      </c>
    </row>
    <row r="84" spans="1:19" x14ac:dyDescent="0.2">
      <c r="A84" t="s">
        <v>64</v>
      </c>
      <c r="B84" t="s">
        <v>46</v>
      </c>
      <c r="C84">
        <v>0.26935428261031402</v>
      </c>
      <c r="D84">
        <v>-0.113523242602022</v>
      </c>
      <c r="E84">
        <v>0.20555620915821701</v>
      </c>
      <c r="F84">
        <v>0.22615214623013799</v>
      </c>
      <c r="G84">
        <v>0.21376185009409299</v>
      </c>
      <c r="H84">
        <v>2.6430863623828002E-3</v>
      </c>
      <c r="I84">
        <v>0.35087190340039498</v>
      </c>
      <c r="J84">
        <v>3.2660239009169999E-4</v>
      </c>
      <c r="K84">
        <v>0.21798974050890799</v>
      </c>
      <c r="L84">
        <f t="shared" si="9"/>
        <v>0.14659519931272302</v>
      </c>
      <c r="M84">
        <f t="shared" si="10"/>
        <v>4.0701941761991656E-3</v>
      </c>
      <c r="N84">
        <f t="shared" si="11"/>
        <v>1.8664245878113293E-3</v>
      </c>
      <c r="O84">
        <f t="shared" si="12"/>
        <v>3.0905185530705898E-3</v>
      </c>
      <c r="P84">
        <f t="shared" si="13"/>
        <v>7.1134862204002475E-2</v>
      </c>
      <c r="Q84">
        <f t="shared" si="14"/>
        <v>6.6451224992754394E-3</v>
      </c>
      <c r="R84">
        <f t="shared" si="15"/>
        <v>7.2375892724674207E-2</v>
      </c>
      <c r="S84">
        <f t="shared" si="16"/>
        <v>2.6383161852871133E-3</v>
      </c>
    </row>
    <row r="85" spans="1:19" x14ac:dyDescent="0.2">
      <c r="A85" t="s">
        <v>64</v>
      </c>
      <c r="B85" t="s">
        <v>47</v>
      </c>
      <c r="C85">
        <v>0.90909090909090895</v>
      </c>
      <c r="D85">
        <v>0.86956521739130399</v>
      </c>
      <c r="E85">
        <v>0.61407757889259895</v>
      </c>
      <c r="F85">
        <v>0.68850326675942497</v>
      </c>
      <c r="G85">
        <v>0.44095204791619602</v>
      </c>
      <c r="H85">
        <v>0.28202363251207901</v>
      </c>
      <c r="I85">
        <v>0.326851043454843</v>
      </c>
      <c r="J85">
        <v>0.20604191474505201</v>
      </c>
      <c r="K85" t="s">
        <v>13</v>
      </c>
      <c r="L85">
        <f t="shared" si="9"/>
        <v>1.5622803043322203E-3</v>
      </c>
      <c r="M85">
        <f t="shared" si="10"/>
        <v>8.703286499469709E-2</v>
      </c>
      <c r="N85">
        <f t="shared" si="11"/>
        <v>4.8658907949362701E-2</v>
      </c>
      <c r="O85">
        <f t="shared" si="12"/>
        <v>0.21915399334195715</v>
      </c>
      <c r="P85">
        <f t="shared" si="13"/>
        <v>0.39321336935599072</v>
      </c>
      <c r="Q85">
        <f t="shared" si="14"/>
        <v>0.33900326113590407</v>
      </c>
      <c r="R85">
        <f t="shared" si="15"/>
        <v>0.49427788845072068</v>
      </c>
      <c r="S85" t="e">
        <f t="shared" si="16"/>
        <v>#VALUE!</v>
      </c>
    </row>
    <row r="86" spans="1:19" x14ac:dyDescent="0.2">
      <c r="A86" t="s">
        <v>64</v>
      </c>
      <c r="B86" t="s">
        <v>48</v>
      </c>
      <c r="C86">
        <v>0.11950361926084201</v>
      </c>
      <c r="D86">
        <v>0.31798351996406599</v>
      </c>
      <c r="E86">
        <v>0.51389944576310198</v>
      </c>
      <c r="F86">
        <v>0.62874707078145997</v>
      </c>
      <c r="G86">
        <v>0.34157754542295399</v>
      </c>
      <c r="H86">
        <v>0.54266127554667398</v>
      </c>
      <c r="I86">
        <v>0.54863461036074102</v>
      </c>
      <c r="J86">
        <v>0.62730751652293704</v>
      </c>
      <c r="K86">
        <v>0.61911264296978297</v>
      </c>
      <c r="L86">
        <f t="shared" si="9"/>
        <v>3.9394270983161644E-2</v>
      </c>
      <c r="M86">
        <f t="shared" si="10"/>
        <v>0.15554806796240073</v>
      </c>
      <c r="N86">
        <f t="shared" si="11"/>
        <v>0.25932889291663203</v>
      </c>
      <c r="O86">
        <f t="shared" si="12"/>
        <v>4.9316828681055157E-2</v>
      </c>
      <c r="P86">
        <f t="shared" si="13"/>
        <v>0.17906240207331831</v>
      </c>
      <c r="Q86">
        <f t="shared" si="14"/>
        <v>0.1841534075223816</v>
      </c>
      <c r="R86">
        <f t="shared" si="15"/>
        <v>0.25786479807457241</v>
      </c>
      <c r="S86">
        <f t="shared" si="16"/>
        <v>0.24960917657140111</v>
      </c>
    </row>
    <row r="87" spans="1:19" x14ac:dyDescent="0.2">
      <c r="A87" t="s">
        <v>64</v>
      </c>
      <c r="B87" t="s">
        <v>49</v>
      </c>
      <c r="C87">
        <v>0.40989805152071002</v>
      </c>
      <c r="D87">
        <v>-0.26844055128857702</v>
      </c>
      <c r="E87">
        <v>0.119851314605739</v>
      </c>
      <c r="F87">
        <v>3.2664772368584602E-2</v>
      </c>
      <c r="G87">
        <v>2.6224170043162302E-2</v>
      </c>
      <c r="H87">
        <v>5.9652848285160999E-3</v>
      </c>
      <c r="I87">
        <v>2.30338725467511E-2</v>
      </c>
      <c r="J87">
        <v>1.8331591399782E-3</v>
      </c>
      <c r="K87" t="s">
        <v>13</v>
      </c>
      <c r="L87">
        <f t="shared" si="9"/>
        <v>0.46014326006125567</v>
      </c>
      <c r="M87">
        <f t="shared" si="10"/>
        <v>8.4127109595022412E-2</v>
      </c>
      <c r="N87">
        <f t="shared" si="11"/>
        <v>0.14230494689986536</v>
      </c>
      <c r="O87">
        <f t="shared" si="12"/>
        <v>0.14720564732804733</v>
      </c>
      <c r="P87">
        <f t="shared" si="13"/>
        <v>0.16316168000761036</v>
      </c>
      <c r="Q87">
        <f t="shared" si="14"/>
        <v>0.14966389297319532</v>
      </c>
      <c r="R87">
        <f t="shared" si="15"/>
        <v>0.16651695639369821</v>
      </c>
      <c r="S87" t="e">
        <f t="shared" si="16"/>
        <v>#VALUE!</v>
      </c>
    </row>
    <row r="88" spans="1:19" x14ac:dyDescent="0.2">
      <c r="A88" t="s">
        <v>64</v>
      </c>
      <c r="B88" t="s">
        <v>50</v>
      </c>
      <c r="C88">
        <v>0.172504742056618</v>
      </c>
      <c r="D88">
        <v>0.38058880370651599</v>
      </c>
      <c r="E88">
        <v>0.51865453473288703</v>
      </c>
      <c r="F88">
        <v>0.47173277989630302</v>
      </c>
      <c r="G88">
        <v>0.33660701531644799</v>
      </c>
      <c r="H88">
        <v>0.37543582722671998</v>
      </c>
      <c r="I88">
        <v>0.405878457610932</v>
      </c>
      <c r="J88">
        <v>0.36531457570561898</v>
      </c>
      <c r="K88" t="s">
        <v>13</v>
      </c>
      <c r="L88">
        <f t="shared" si="9"/>
        <v>4.3298976712718547E-2</v>
      </c>
      <c r="M88">
        <f t="shared" si="10"/>
        <v>0.11981967896982401</v>
      </c>
      <c r="N88">
        <f t="shared" si="11"/>
        <v>8.9537418629387952E-2</v>
      </c>
      <c r="O88">
        <f t="shared" si="12"/>
        <v>2.6929556089043911E-2</v>
      </c>
      <c r="P88">
        <f t="shared" si="13"/>
        <v>4.1181025328315184E-2</v>
      </c>
      <c r="Q88">
        <f t="shared" si="14"/>
        <v>5.4463291111625858E-2</v>
      </c>
      <c r="R88">
        <f t="shared" si="15"/>
        <v>3.7175631951755432E-2</v>
      </c>
      <c r="S88" t="e">
        <f t="shared" si="16"/>
        <v>#VALUE!</v>
      </c>
    </row>
    <row r="89" spans="1:19" x14ac:dyDescent="0.2">
      <c r="A89" t="s">
        <v>64</v>
      </c>
      <c r="B89" t="s">
        <v>51</v>
      </c>
      <c r="C89">
        <v>0.16087034518374099</v>
      </c>
      <c r="D89">
        <v>-8.9679635609126701E-2</v>
      </c>
      <c r="E89">
        <v>0.38115260873386703</v>
      </c>
      <c r="F89">
        <v>0.204365029280277</v>
      </c>
      <c r="G89">
        <v>0.175487898235688</v>
      </c>
      <c r="H89">
        <v>6.7479738205909301E-2</v>
      </c>
      <c r="I89">
        <v>0.113800755837713</v>
      </c>
      <c r="J89">
        <v>3.3940366907699603E-2</v>
      </c>
      <c r="K89">
        <v>0.17564741311683801</v>
      </c>
      <c r="L89">
        <f t="shared" si="9"/>
        <v>6.2775292875306379E-2</v>
      </c>
      <c r="M89">
        <f t="shared" si="10"/>
        <v>4.8524275634767182E-2</v>
      </c>
      <c r="N89">
        <f t="shared" si="11"/>
        <v>1.8917875446574622E-3</v>
      </c>
      <c r="O89">
        <f t="shared" si="12"/>
        <v>2.1367285722648528E-4</v>
      </c>
      <c r="P89">
        <f t="shared" si="13"/>
        <v>8.7218054716878251E-3</v>
      </c>
      <c r="Q89">
        <f t="shared" si="14"/>
        <v>2.215546241203712E-3</v>
      </c>
      <c r="R89">
        <f t="shared" si="15"/>
        <v>1.6111219385156337E-2</v>
      </c>
      <c r="S89">
        <f t="shared" si="16"/>
        <v>2.1836173669936428E-4</v>
      </c>
    </row>
    <row r="90" spans="1:19" x14ac:dyDescent="0.2">
      <c r="A90" t="s">
        <v>64</v>
      </c>
      <c r="B90" t="s">
        <v>52</v>
      </c>
      <c r="C90">
        <v>0.189578163862199</v>
      </c>
      <c r="D90">
        <v>7.3627521897017295E-2</v>
      </c>
      <c r="E90">
        <v>0.21064528752039299</v>
      </c>
      <c r="F90">
        <v>0.15896145601456199</v>
      </c>
      <c r="G90">
        <v>0.15023608277450701</v>
      </c>
      <c r="H90">
        <v>3.0322740167392E-2</v>
      </c>
      <c r="I90">
        <v>7.4135401426539904E-2</v>
      </c>
      <c r="J90">
        <v>8.8323596377263992E-3</v>
      </c>
      <c r="K90" t="s">
        <v>13</v>
      </c>
      <c r="L90">
        <f t="shared" si="9"/>
        <v>1.3444551372137757E-2</v>
      </c>
      <c r="M90">
        <f t="shared" si="10"/>
        <v>4.4382369922963701E-4</v>
      </c>
      <c r="N90">
        <f t="shared" si="11"/>
        <v>9.3738279942755763E-4</v>
      </c>
      <c r="O90">
        <f t="shared" si="12"/>
        <v>1.547799344310532E-3</v>
      </c>
      <c r="P90">
        <f t="shared" si="13"/>
        <v>2.5362289976212492E-2</v>
      </c>
      <c r="Q90">
        <f t="shared" si="14"/>
        <v>1.3327031398776022E-2</v>
      </c>
      <c r="R90">
        <f t="shared" si="15"/>
        <v>3.2669045744751372E-2</v>
      </c>
      <c r="S90" t="e">
        <f t="shared" si="16"/>
        <v>#VALUE!</v>
      </c>
    </row>
    <row r="91" spans="1:19" x14ac:dyDescent="0.2">
      <c r="A91" t="s">
        <v>64</v>
      </c>
      <c r="B91" t="s">
        <v>53</v>
      </c>
      <c r="C91">
        <v>0.16027435221195299</v>
      </c>
      <c r="D91">
        <v>-2.7411715496551799E-2</v>
      </c>
      <c r="E91">
        <v>0.65465526480904601</v>
      </c>
      <c r="F91">
        <v>0.37523867435647701</v>
      </c>
      <c r="G91">
        <v>0.21880091860545101</v>
      </c>
      <c r="H91">
        <v>0.20292018763936301</v>
      </c>
      <c r="I91">
        <v>0.23895118669750601</v>
      </c>
      <c r="J91">
        <v>0.21642853774205101</v>
      </c>
      <c r="K91">
        <v>0.36194610279822098</v>
      </c>
      <c r="L91">
        <f t="shared" si="9"/>
        <v>3.5226060011881444E-2</v>
      </c>
      <c r="M91">
        <f t="shared" si="10"/>
        <v>0.24441248674033456</v>
      </c>
      <c r="N91">
        <f t="shared" si="11"/>
        <v>4.6209659795054696E-2</v>
      </c>
      <c r="O91">
        <f t="shared" si="12"/>
        <v>3.4253589738125309E-3</v>
      </c>
      <c r="P91">
        <f t="shared" si="13"/>
        <v>1.8186672793017392E-3</v>
      </c>
      <c r="Q91">
        <f t="shared" si="14"/>
        <v>6.1900442846671046E-3</v>
      </c>
      <c r="R91">
        <f t="shared" si="15"/>
        <v>3.1532925525486694E-3</v>
      </c>
      <c r="S91">
        <f t="shared" si="16"/>
        <v>4.0671494984529884E-2</v>
      </c>
    </row>
    <row r="92" spans="1:19" x14ac:dyDescent="0.2">
      <c r="A92" t="s">
        <v>64</v>
      </c>
      <c r="B92" t="s">
        <v>54</v>
      </c>
      <c r="C92">
        <v>0.17943593172163899</v>
      </c>
      <c r="D92">
        <v>3.1048123700298799E-2</v>
      </c>
      <c r="E92">
        <v>0.45394591087476299</v>
      </c>
      <c r="F92">
        <v>0.34082831789246198</v>
      </c>
      <c r="G92">
        <v>0.23287449390422399</v>
      </c>
      <c r="H92">
        <v>0.222955700504607</v>
      </c>
      <c r="I92">
        <v>0.262230030679237</v>
      </c>
      <c r="J92">
        <v>0.198594658347655</v>
      </c>
      <c r="K92">
        <v>0.23287680848858799</v>
      </c>
      <c r="L92">
        <f t="shared" si="9"/>
        <v>2.2018941569378111E-2</v>
      </c>
      <c r="M92">
        <f t="shared" si="10"/>
        <v>7.5355728654648582E-2</v>
      </c>
      <c r="N92">
        <f t="shared" si="11"/>
        <v>2.6047502313912056E-2</v>
      </c>
      <c r="O92">
        <f t="shared" si="12"/>
        <v>2.8556799281420036E-3</v>
      </c>
      <c r="P92">
        <f t="shared" si="13"/>
        <v>1.8939702749229969E-3</v>
      </c>
      <c r="Q92">
        <f t="shared" si="14"/>
        <v>6.8548628222005322E-3</v>
      </c>
      <c r="R92">
        <f t="shared" si="15"/>
        <v>3.6705680593041457E-4</v>
      </c>
      <c r="S92">
        <f t="shared" si="16"/>
        <v>2.8559273096202295E-3</v>
      </c>
    </row>
    <row r="93" spans="1:19" x14ac:dyDescent="0.2">
      <c r="A93" t="s">
        <v>64</v>
      </c>
      <c r="B93" t="s">
        <v>55</v>
      </c>
      <c r="C93">
        <v>0.25433702034797701</v>
      </c>
      <c r="D93">
        <v>-0.24619881084291201</v>
      </c>
      <c r="E93">
        <v>0.37723717310240801</v>
      </c>
      <c r="F93">
        <v>0.117149437727112</v>
      </c>
      <c r="G93">
        <v>8.6111721206691694E-2</v>
      </c>
      <c r="H93">
        <v>4.3975884642174903E-2</v>
      </c>
      <c r="I93">
        <v>7.9637164969615107E-2</v>
      </c>
      <c r="J93">
        <v>2.9626165158423898E-2</v>
      </c>
      <c r="K93">
        <v>8.6039723263719697E-2</v>
      </c>
      <c r="L93">
        <f t="shared" si="9"/>
        <v>0.25053611830595407</v>
      </c>
      <c r="M93">
        <f t="shared" si="10"/>
        <v>1.5104447547062473E-2</v>
      </c>
      <c r="N93">
        <f t="shared" si="11"/>
        <v>1.882043282535666E-2</v>
      </c>
      <c r="O93">
        <f t="shared" si="12"/>
        <v>2.8299751271174928E-2</v>
      </c>
      <c r="P93">
        <f t="shared" si="13"/>
        <v>4.4251807415434892E-2</v>
      </c>
      <c r="Q93">
        <f t="shared" si="14"/>
        <v>3.0520039469220567E-2</v>
      </c>
      <c r="R93">
        <f t="shared" si="15"/>
        <v>5.0494968440020306E-2</v>
      </c>
      <c r="S93">
        <f t="shared" si="16"/>
        <v>2.8323980205866763E-2</v>
      </c>
    </row>
    <row r="94" spans="1:19" x14ac:dyDescent="0.2">
      <c r="A94" t="s">
        <v>64</v>
      </c>
      <c r="B94" t="s">
        <v>56</v>
      </c>
      <c r="C94">
        <v>0.51391546726693704</v>
      </c>
      <c r="D94">
        <v>-4.2594417051349899E-2</v>
      </c>
      <c r="E94">
        <v>0.433749050643919</v>
      </c>
      <c r="F94">
        <v>0.32588995548285499</v>
      </c>
      <c r="G94">
        <v>0.19628507732936801</v>
      </c>
      <c r="H94">
        <v>0.18187027713186099</v>
      </c>
      <c r="I94">
        <v>0.22431904983332401</v>
      </c>
      <c r="J94">
        <v>0.17240661003740801</v>
      </c>
      <c r="K94">
        <v>0.196285076923465</v>
      </c>
      <c r="L94">
        <f t="shared" si="9"/>
        <v>0.30970325134395316</v>
      </c>
      <c r="M94">
        <f t="shared" si="10"/>
        <v>6.4266543541753041E-3</v>
      </c>
      <c r="N94">
        <f t="shared" si="11"/>
        <v>3.5353593081665982E-2</v>
      </c>
      <c r="O94">
        <f t="shared" si="12"/>
        <v>0.10088906461189216</v>
      </c>
      <c r="P94">
        <f t="shared" si="13"/>
        <v>0.1102540082918388</v>
      </c>
      <c r="Q94">
        <f t="shared" si="14"/>
        <v>8.3866084990383449E-2</v>
      </c>
      <c r="R94">
        <f t="shared" si="15"/>
        <v>0.11662829956621887</v>
      </c>
      <c r="S94">
        <f t="shared" si="16"/>
        <v>0.10088906486974643</v>
      </c>
    </row>
    <row r="95" spans="1:19" x14ac:dyDescent="0.2">
      <c r="A95" t="s">
        <v>64</v>
      </c>
      <c r="B95" t="s">
        <v>57</v>
      </c>
      <c r="C95">
        <v>5.7605609046029998E-3</v>
      </c>
      <c r="D95">
        <v>-3.6804883332801001E-3</v>
      </c>
      <c r="E95">
        <v>0.25520019018499401</v>
      </c>
      <c r="F95">
        <v>0.11110557926021</v>
      </c>
      <c r="G95">
        <v>5.9207239611299999E-2</v>
      </c>
      <c r="H95">
        <v>5.1392881967609702E-2</v>
      </c>
      <c r="I95">
        <v>8.2694632073862601E-2</v>
      </c>
      <c r="J95">
        <v>4.05356194913205E-2</v>
      </c>
      <c r="K95" t="s">
        <v>13</v>
      </c>
      <c r="L95">
        <f t="shared" si="9"/>
        <v>8.9133410712133074E-5</v>
      </c>
      <c r="M95">
        <f t="shared" si="10"/>
        <v>6.22201286555389E-2</v>
      </c>
      <c r="N95">
        <f t="shared" si="11"/>
        <v>1.1097572892343177E-2</v>
      </c>
      <c r="O95">
        <f t="shared" si="12"/>
        <v>2.856547464776898E-3</v>
      </c>
      <c r="P95">
        <f t="shared" si="13"/>
        <v>2.082308725597325E-3</v>
      </c>
      <c r="Q95">
        <f t="shared" si="14"/>
        <v>5.9188513066767007E-3</v>
      </c>
      <c r="R95">
        <f t="shared" si="15"/>
        <v>1.2093046997096344E-3</v>
      </c>
      <c r="S95" t="e">
        <f t="shared" si="16"/>
        <v>#VALUE!</v>
      </c>
    </row>
    <row r="96" spans="1:19" x14ac:dyDescent="0.2">
      <c r="A96" t="s">
        <v>64</v>
      </c>
      <c r="B96" t="s">
        <v>58</v>
      </c>
      <c r="C96">
        <v>0.20943509619765199</v>
      </c>
      <c r="D96">
        <v>2.6479868337939E-3</v>
      </c>
      <c r="E96">
        <v>0.27087369067898298</v>
      </c>
      <c r="F96">
        <v>0.22796862859390701</v>
      </c>
      <c r="G96">
        <v>0.145771559738884</v>
      </c>
      <c r="H96">
        <v>0.11481866200834701</v>
      </c>
      <c r="I96">
        <v>0.15633006037473199</v>
      </c>
      <c r="J96">
        <v>0.100461153028438</v>
      </c>
      <c r="K96" t="s">
        <v>13</v>
      </c>
      <c r="L96">
        <f t="shared" si="9"/>
        <v>4.2760908599060204E-2</v>
      </c>
      <c r="M96">
        <f t="shared" si="10"/>
        <v>3.7747008918414347E-3</v>
      </c>
      <c r="N96">
        <f t="shared" si="11"/>
        <v>3.4349182308303437E-4</v>
      </c>
      <c r="O96">
        <f t="shared" si="12"/>
        <v>4.0530458744368813E-3</v>
      </c>
      <c r="P96">
        <f t="shared" si="13"/>
        <v>8.9522696186990821E-3</v>
      </c>
      <c r="Q96">
        <f t="shared" si="14"/>
        <v>2.8201448297536171E-3</v>
      </c>
      <c r="R96">
        <f t="shared" si="15"/>
        <v>1.1875320289847082E-2</v>
      </c>
      <c r="S96" t="e">
        <f t="shared" si="16"/>
        <v>#VALUE!</v>
      </c>
    </row>
    <row r="97" spans="1:19" x14ac:dyDescent="0.2">
      <c r="A97" t="s">
        <v>64</v>
      </c>
      <c r="B97" t="s">
        <v>59</v>
      </c>
      <c r="C97">
        <v>0.30211336071808897</v>
      </c>
      <c r="D97">
        <v>-0.44286036315324401</v>
      </c>
      <c r="E97">
        <v>3.7842438328874697E-2</v>
      </c>
      <c r="F97">
        <v>5.4989990623157702E-2</v>
      </c>
      <c r="G97">
        <v>5.2026306870489203E-2</v>
      </c>
      <c r="H97" s="1">
        <v>1.0506971370727301E-7</v>
      </c>
      <c r="I97">
        <v>5.0261771009112999E-3</v>
      </c>
      <c r="J97">
        <v>0</v>
      </c>
      <c r="K97">
        <v>5.2055839680584103E-2</v>
      </c>
      <c r="L97">
        <f t="shared" si="9"/>
        <v>0.55498584925872108</v>
      </c>
      <c r="M97">
        <f t="shared" si="10"/>
        <v>6.9839120420446127E-2</v>
      </c>
      <c r="N97">
        <f t="shared" si="11"/>
        <v>6.106996004707637E-2</v>
      </c>
      <c r="O97">
        <f t="shared" si="12"/>
        <v>6.2543534502172274E-2</v>
      </c>
      <c r="P97">
        <f t="shared" si="13"/>
        <v>9.127241923846055E-2</v>
      </c>
      <c r="Q97">
        <f t="shared" si="14"/>
        <v>8.826079466958664E-2</v>
      </c>
      <c r="R97">
        <f t="shared" si="15"/>
        <v>9.1272482724378143E-2</v>
      </c>
      <c r="S97">
        <f t="shared" si="16"/>
        <v>6.2528763827422201E-2</v>
      </c>
    </row>
    <row r="98" spans="1:19" x14ac:dyDescent="0.2">
      <c r="A98" t="s">
        <v>64</v>
      </c>
      <c r="B98" t="s">
        <v>60</v>
      </c>
      <c r="C98">
        <v>0.20088261297391899</v>
      </c>
      <c r="D98">
        <v>0.23903676450160499</v>
      </c>
      <c r="E98">
        <v>0.43048407623201002</v>
      </c>
      <c r="F98">
        <v>0.38236695898946799</v>
      </c>
      <c r="G98">
        <v>0.24293386265108499</v>
      </c>
      <c r="H98">
        <v>0.245818129485148</v>
      </c>
      <c r="I98">
        <v>0.27986218126359602</v>
      </c>
      <c r="J98">
        <v>0.25023103085002901</v>
      </c>
      <c r="K98" t="s">
        <v>13</v>
      </c>
      <c r="L98">
        <f t="shared" si="9"/>
        <v>1.4557392787976243E-3</v>
      </c>
      <c r="M98">
        <f t="shared" si="10"/>
        <v>5.2716831930256523E-2</v>
      </c>
      <c r="N98">
        <f t="shared" si="11"/>
        <v>3.2936567848691513E-2</v>
      </c>
      <c r="O98">
        <f t="shared" si="12"/>
        <v>1.7683075994113539E-3</v>
      </c>
      <c r="P98">
        <f t="shared" si="13"/>
        <v>2.0192006441309353E-3</v>
      </c>
      <c r="Q98">
        <f t="shared" si="14"/>
        <v>6.2377722072237581E-3</v>
      </c>
      <c r="R98">
        <f t="shared" si="15"/>
        <v>2.4352663468751755E-3</v>
      </c>
      <c r="S98" t="e">
        <f t="shared" si="16"/>
        <v>#VALUE!</v>
      </c>
    </row>
    <row r="99" spans="1:19" x14ac:dyDescent="0.2">
      <c r="A99" t="s">
        <v>64</v>
      </c>
      <c r="B99" t="s">
        <v>61</v>
      </c>
      <c r="C99">
        <v>0.38296920608213098</v>
      </c>
      <c r="D99">
        <v>-0.27711867552739999</v>
      </c>
      <c r="E99">
        <v>0.17385581821054899</v>
      </c>
      <c r="F99">
        <v>0.12153691309306699</v>
      </c>
      <c r="G99">
        <v>0.10880060023401</v>
      </c>
      <c r="H99">
        <v>3.6660217890992601E-2</v>
      </c>
      <c r="I99">
        <v>8.3802496704039595E-2</v>
      </c>
      <c r="J99">
        <v>1.06384696906237E-2</v>
      </c>
      <c r="K99">
        <v>0.108794976431087</v>
      </c>
      <c r="L99">
        <f t="shared" si="9"/>
        <v>0.43571601144775823</v>
      </c>
      <c r="M99">
        <f t="shared" si="10"/>
        <v>4.3728408987130693E-2</v>
      </c>
      <c r="N99">
        <f t="shared" si="11"/>
        <v>6.8346843817519806E-2</v>
      </c>
      <c r="O99">
        <f t="shared" si="12"/>
        <v>7.5168424432702316E-2</v>
      </c>
      <c r="P99">
        <f t="shared" si="13"/>
        <v>0.11992991530197002</v>
      </c>
      <c r="Q99">
        <f t="shared" si="14"/>
        <v>8.9500720000115386E-2</v>
      </c>
      <c r="R99">
        <f t="shared" si="15"/>
        <v>0.13863017726184207</v>
      </c>
      <c r="S99">
        <f t="shared" si="16"/>
        <v>7.5171508204743415E-2</v>
      </c>
    </row>
    <row r="100" spans="1:19" x14ac:dyDescent="0.2">
      <c r="A100" t="s">
        <v>64</v>
      </c>
      <c r="B100" t="s">
        <v>62</v>
      </c>
      <c r="C100">
        <v>0.337988377355046</v>
      </c>
      <c r="D100">
        <v>0.161413967394965</v>
      </c>
      <c r="E100">
        <v>0.53117531713354105</v>
      </c>
      <c r="F100">
        <v>0.47282936355284799</v>
      </c>
      <c r="G100">
        <v>0.463787751753788</v>
      </c>
      <c r="H100">
        <v>0.18583435032262299</v>
      </c>
      <c r="I100">
        <v>0.27041933590980899</v>
      </c>
      <c r="J100">
        <v>5.7706793667146497E-2</v>
      </c>
      <c r="K100">
        <v>0.47237315419349302</v>
      </c>
      <c r="L100">
        <f t="shared" si="9"/>
        <v>3.1178522252750755E-2</v>
      </c>
      <c r="M100">
        <f t="shared" si="10"/>
        <v>3.7321193700979874E-2</v>
      </c>
      <c r="N100">
        <f t="shared" si="11"/>
        <v>1.8182091558795827E-2</v>
      </c>
      <c r="O100">
        <f t="shared" si="12"/>
        <v>1.5825482599114864E-2</v>
      </c>
      <c r="P100">
        <f t="shared" si="13"/>
        <v>2.3150847942183309E-2</v>
      </c>
      <c r="Q100">
        <f t="shared" si="14"/>
        <v>4.5655753618281565E-3</v>
      </c>
      <c r="R100">
        <f t="shared" si="15"/>
        <v>7.8557766154597017E-2</v>
      </c>
      <c r="S100">
        <f t="shared" si="16"/>
        <v>1.8059268245919205E-2</v>
      </c>
    </row>
    <row r="101" spans="1:19" x14ac:dyDescent="0.2">
      <c r="A101" t="s">
        <v>64</v>
      </c>
      <c r="B101" t="s">
        <v>63</v>
      </c>
      <c r="C101">
        <v>5.2408478184414103E-2</v>
      </c>
      <c r="D101">
        <v>0.90427350427350395</v>
      </c>
      <c r="E101">
        <v>0.29723511121136698</v>
      </c>
      <c r="F101">
        <v>0.20560253994151401</v>
      </c>
      <c r="G101">
        <v>0.15914696761494301</v>
      </c>
      <c r="H101">
        <v>0.11376990597845101</v>
      </c>
      <c r="I101">
        <v>0.15314809460500201</v>
      </c>
      <c r="J101">
        <v>9.2581717813362593E-2</v>
      </c>
      <c r="K101" t="s">
        <v>13</v>
      </c>
      <c r="L101">
        <f t="shared" si="9"/>
        <v>0.7256740226737658</v>
      </c>
      <c r="M101">
        <f t="shared" si="10"/>
        <v>5.9940080239314249E-2</v>
      </c>
      <c r="N101">
        <f t="shared" si="11"/>
        <v>2.3468420557638137E-2</v>
      </c>
      <c r="O101">
        <f t="shared" si="12"/>
        <v>1.1393105125911131E-2</v>
      </c>
      <c r="P101">
        <f t="shared" si="13"/>
        <v>3.7652248209228043E-3</v>
      </c>
      <c r="Q101">
        <f t="shared" si="14"/>
        <v>1.0148470316567184E-2</v>
      </c>
      <c r="R101">
        <f t="shared" si="15"/>
        <v>1.6138891822849175E-3</v>
      </c>
      <c r="S101" t="e">
        <f t="shared" si="16"/>
        <v>#VALUE!</v>
      </c>
    </row>
    <row r="102" spans="1:19" x14ac:dyDescent="0.2">
      <c r="A102" t="s">
        <v>65</v>
      </c>
      <c r="B102" t="s">
        <v>12</v>
      </c>
      <c r="C102">
        <v>0.52017400392254698</v>
      </c>
      <c r="D102">
        <v>6.9775298589203699E-2</v>
      </c>
      <c r="E102">
        <v>0.32042865092678302</v>
      </c>
      <c r="F102">
        <v>0.12789457374746299</v>
      </c>
      <c r="G102">
        <v>2.3573244899356E-2</v>
      </c>
      <c r="H102">
        <v>5.93112969313489E-2</v>
      </c>
      <c r="I102">
        <v>6.4821684098147897E-2</v>
      </c>
      <c r="J102">
        <v>0.110027603690145</v>
      </c>
      <c r="K102">
        <v>233415562.99455699</v>
      </c>
      <c r="L102">
        <f t="shared" si="9"/>
        <v>0.20285899376595176</v>
      </c>
      <c r="M102">
        <f t="shared" si="10"/>
        <v>3.989820604340235E-2</v>
      </c>
      <c r="N102">
        <f t="shared" si="11"/>
        <v>0.15388315133848859</v>
      </c>
      <c r="O102">
        <f t="shared" si="12"/>
        <v>0.24661231386240942</v>
      </c>
      <c r="P102">
        <f t="shared" si="13"/>
        <v>0.2123944346952549</v>
      </c>
      <c r="Q102">
        <f t="shared" si="14"/>
        <v>0.20734573516946181</v>
      </c>
      <c r="R102">
        <f t="shared" si="15"/>
        <v>0.1682200696235977</v>
      </c>
      <c r="S102">
        <f t="shared" si="16"/>
        <v>5.4482824805232592E+16</v>
      </c>
    </row>
    <row r="103" spans="1:19" x14ac:dyDescent="0.2">
      <c r="A103" t="s">
        <v>65</v>
      </c>
      <c r="B103" t="s">
        <v>14</v>
      </c>
      <c r="C103">
        <v>0.71062271074894301</v>
      </c>
      <c r="D103">
        <v>0.210820711174354</v>
      </c>
      <c r="E103">
        <v>0.24917031521629401</v>
      </c>
      <c r="F103">
        <v>0.14708660194158901</v>
      </c>
      <c r="G103">
        <v>3.0468716905741301E-2</v>
      </c>
      <c r="H103">
        <v>9.8130144194440397E-2</v>
      </c>
      <c r="I103">
        <v>9.6100746606016793E-2</v>
      </c>
      <c r="J103">
        <v>0.15091987031517001</v>
      </c>
      <c r="K103">
        <v>157221.78964487801</v>
      </c>
      <c r="L103">
        <f t="shared" si="9"/>
        <v>0.24980203877875751</v>
      </c>
      <c r="M103">
        <f t="shared" si="10"/>
        <v>0.21293831334282035</v>
      </c>
      <c r="N103">
        <f t="shared" si="11"/>
        <v>0.31757294592973401</v>
      </c>
      <c r="O103">
        <f t="shared" si="12"/>
        <v>0.46260945534085812</v>
      </c>
      <c r="P103">
        <f t="shared" si="13"/>
        <v>0.37514714408452177</v>
      </c>
      <c r="Q103">
        <f t="shared" si="14"/>
        <v>0.37763724441407992</v>
      </c>
      <c r="R103">
        <f t="shared" si="15"/>
        <v>0.31326726958963347</v>
      </c>
      <c r="S103">
        <f t="shared" si="16"/>
        <v>24718467688.894558</v>
      </c>
    </row>
    <row r="104" spans="1:19" x14ac:dyDescent="0.2">
      <c r="A104" t="s">
        <v>65</v>
      </c>
      <c r="B104" t="s">
        <v>15</v>
      </c>
      <c r="C104">
        <v>0.39067029881632398</v>
      </c>
      <c r="D104">
        <v>-0.110065999635526</v>
      </c>
      <c r="E104">
        <v>0.54273442728225896</v>
      </c>
      <c r="F104">
        <v>0.113087650342132</v>
      </c>
      <c r="G104">
        <v>1.6557351904179798E-2</v>
      </c>
      <c r="H104">
        <v>4.3336939795586199E-2</v>
      </c>
      <c r="I104">
        <v>5.3133072087500399E-2</v>
      </c>
      <c r="J104">
        <v>8.4930466607964397E-2</v>
      </c>
      <c r="K104">
        <v>477439.266663505</v>
      </c>
      <c r="L104">
        <f t="shared" si="9"/>
        <v>0.25073684058726015</v>
      </c>
      <c r="M104">
        <f t="shared" si="10"/>
        <v>2.3123499166104376E-2</v>
      </c>
      <c r="N104">
        <f t="shared" si="11"/>
        <v>7.7052126733946846E-2</v>
      </c>
      <c r="O104">
        <f t="shared" si="12"/>
        <v>0.13996049704728883</v>
      </c>
      <c r="P104">
        <f t="shared" si="13"/>
        <v>0.12064046228862875</v>
      </c>
      <c r="Q104">
        <f t="shared" si="14"/>
        <v>0.11393137942778525</v>
      </c>
      <c r="R104">
        <f t="shared" si="15"/>
        <v>9.3476844998795883E-2</v>
      </c>
      <c r="S104">
        <f t="shared" si="16"/>
        <v>227947880309.6561</v>
      </c>
    </row>
    <row r="105" spans="1:19" x14ac:dyDescent="0.2">
      <c r="A105" t="s">
        <v>65</v>
      </c>
      <c r="B105" t="s">
        <v>16</v>
      </c>
      <c r="C105">
        <v>0.47072879333941398</v>
      </c>
      <c r="D105">
        <v>-7.0652091609607996E-3</v>
      </c>
      <c r="E105">
        <v>0.33260296817006302</v>
      </c>
      <c r="F105">
        <v>0.14500989077067</v>
      </c>
      <c r="G105">
        <v>2.4874730094571799E-2</v>
      </c>
      <c r="H105">
        <v>8.1926911452119403E-2</v>
      </c>
      <c r="I105">
        <v>8.5286399478252103E-2</v>
      </c>
      <c r="J105">
        <v>0.13761655795942801</v>
      </c>
      <c r="K105">
        <v>1872.6537887053901</v>
      </c>
      <c r="L105">
        <f t="shared" si="9"/>
        <v>0.22828710882532816</v>
      </c>
      <c r="M105">
        <f t="shared" si="10"/>
        <v>1.9078743578714107E-2</v>
      </c>
      <c r="N105">
        <f t="shared" si="11"/>
        <v>0.10609280349058693</v>
      </c>
      <c r="O105">
        <f t="shared" si="12"/>
        <v>0.19878584571193572</v>
      </c>
      <c r="P105">
        <f t="shared" si="13"/>
        <v>0.15116690335910177</v>
      </c>
      <c r="Q105">
        <f t="shared" si="14"/>
        <v>0.14856583898542303</v>
      </c>
      <c r="R105">
        <f t="shared" si="15"/>
        <v>0.11096376135985117</v>
      </c>
      <c r="S105">
        <f t="shared" si="16"/>
        <v>3505069.4098216486</v>
      </c>
    </row>
    <row r="106" spans="1:19" x14ac:dyDescent="0.2">
      <c r="A106" t="s">
        <v>65</v>
      </c>
      <c r="B106" t="s">
        <v>17</v>
      </c>
      <c r="C106">
        <v>0.45203429064431599</v>
      </c>
      <c r="D106">
        <v>-7.4165153119275698E-2</v>
      </c>
      <c r="E106">
        <v>0.216116546536611</v>
      </c>
      <c r="F106">
        <v>9.5705875526319401E-2</v>
      </c>
      <c r="G106">
        <v>1.2304133789413E-2</v>
      </c>
      <c r="H106">
        <v>5.6977265855555403E-2</v>
      </c>
      <c r="I106">
        <v>5.6574446594663E-2</v>
      </c>
      <c r="J106">
        <v>9.6906288654483697E-2</v>
      </c>
      <c r="K106">
        <v>7348.80104994665</v>
      </c>
      <c r="L106">
        <f t="shared" si="9"/>
        <v>0.27688585461711335</v>
      </c>
      <c r="M106">
        <f t="shared" si="10"/>
        <v>5.5657181984868576E-2</v>
      </c>
      <c r="N106">
        <f t="shared" si="11"/>
        <v>0.12696993942050333</v>
      </c>
      <c r="O106">
        <f t="shared" si="12"/>
        <v>0.19336261084763762</v>
      </c>
      <c r="P106">
        <f t="shared" si="13"/>
        <v>0.1560700528349474</v>
      </c>
      <c r="Q106">
        <f t="shared" si="14"/>
        <v>0.15638848825577586</v>
      </c>
      <c r="R106">
        <f t="shared" si="15"/>
        <v>0.12611589779729032</v>
      </c>
      <c r="S106">
        <f t="shared" si="16"/>
        <v>53998233.25589259</v>
      </c>
    </row>
    <row r="107" spans="1:19" x14ac:dyDescent="0.2">
      <c r="A107" t="s">
        <v>65</v>
      </c>
      <c r="B107" t="s">
        <v>18</v>
      </c>
      <c r="C107">
        <v>0.57820778618370405</v>
      </c>
      <c r="D107">
        <v>9.8442764354603904E-2</v>
      </c>
      <c r="E107">
        <v>0.270648483472817</v>
      </c>
      <c r="F107">
        <v>0.13789423021105099</v>
      </c>
      <c r="G107">
        <v>2.4314951903104499E-2</v>
      </c>
      <c r="H107">
        <v>0.36787943440982401</v>
      </c>
      <c r="I107">
        <v>0.108677780929895</v>
      </c>
      <c r="J107">
        <v>0.14227881656350699</v>
      </c>
      <c r="K107">
        <v>130.11848251194701</v>
      </c>
      <c r="L107">
        <f t="shared" si="9"/>
        <v>0.23017447617067693</v>
      </c>
      <c r="M107">
        <f t="shared" si="10"/>
        <v>9.4592724684007048E-2</v>
      </c>
      <c r="N107">
        <f t="shared" si="11"/>
        <v>0.19387602757328271</v>
      </c>
      <c r="O107">
        <f t="shared" si="12"/>
        <v>0.30679727186739569</v>
      </c>
      <c r="P107">
        <f t="shared" si="13"/>
        <v>4.4238015559917028E-2</v>
      </c>
      <c r="Q107">
        <f t="shared" si="14"/>
        <v>0.22045842583364197</v>
      </c>
      <c r="R107">
        <f t="shared" si="15"/>
        <v>0.19003406655412669</v>
      </c>
      <c r="S107">
        <f t="shared" si="16"/>
        <v>16780.682776026231</v>
      </c>
    </row>
    <row r="108" spans="1:19" x14ac:dyDescent="0.2">
      <c r="A108" t="s">
        <v>65</v>
      </c>
      <c r="B108" t="s">
        <v>19</v>
      </c>
      <c r="C108">
        <v>0.59882910913318299</v>
      </c>
      <c r="D108">
        <v>4.2703460799498397E-2</v>
      </c>
      <c r="E108">
        <v>0.20036595027324799</v>
      </c>
      <c r="F108">
        <v>0.13649234973493499</v>
      </c>
      <c r="G108">
        <v>2.3538736181382601E-2</v>
      </c>
      <c r="H108">
        <v>9.4906087218523602E-2</v>
      </c>
      <c r="I108">
        <v>9.3124046180541195E-2</v>
      </c>
      <c r="J108">
        <v>0.139014316725562</v>
      </c>
      <c r="K108">
        <v>295.12491778041999</v>
      </c>
      <c r="L108">
        <f t="shared" si="9"/>
        <v>0.30927573673456105</v>
      </c>
      <c r="M108">
        <f t="shared" si="10"/>
        <v>0.15877288896863778</v>
      </c>
      <c r="N108">
        <f t="shared" si="11"/>
        <v>0.2137552790908735</v>
      </c>
      <c r="O108">
        <f t="shared" si="12"/>
        <v>0.33095901321102161</v>
      </c>
      <c r="P108">
        <f t="shared" si="13"/>
        <v>0.25393841201560235</v>
      </c>
      <c r="Q108">
        <f t="shared" si="14"/>
        <v>0.25573761069593542</v>
      </c>
      <c r="R108">
        <f t="shared" si="15"/>
        <v>0.21142964331686362</v>
      </c>
      <c r="S108">
        <f t="shared" si="16"/>
        <v>86745.61690800669</v>
      </c>
    </row>
    <row r="109" spans="1:19" x14ac:dyDescent="0.2">
      <c r="A109" t="s">
        <v>65</v>
      </c>
      <c r="B109" t="s">
        <v>20</v>
      </c>
      <c r="C109">
        <v>0.54518072285254704</v>
      </c>
      <c r="D109">
        <v>-1.75421690434256E-2</v>
      </c>
      <c r="E109">
        <v>0.19147450861923301</v>
      </c>
      <c r="F109">
        <v>8.9347569084055306E-2</v>
      </c>
      <c r="G109">
        <v>1.07869443376515E-2</v>
      </c>
      <c r="H109">
        <v>5.2291914822745297E-2</v>
      </c>
      <c r="I109">
        <v>5.2021496125865103E-2</v>
      </c>
      <c r="J109">
        <v>8.99970565058857E-2</v>
      </c>
      <c r="K109">
        <v>17312.904004754098</v>
      </c>
      <c r="L109">
        <f t="shared" si="9"/>
        <v>0.31665705306376657</v>
      </c>
      <c r="M109">
        <f t="shared" si="10"/>
        <v>0.12510808598726306</v>
      </c>
      <c r="N109">
        <f t="shared" si="11"/>
        <v>0.20778386407452945</v>
      </c>
      <c r="O109">
        <f t="shared" si="12"/>
        <v>0.28557671051542727</v>
      </c>
      <c r="P109">
        <f t="shared" si="13"/>
        <v>0.24293937708103874</v>
      </c>
      <c r="Q109">
        <f t="shared" si="14"/>
        <v>0.24320602290565888</v>
      </c>
      <c r="R109">
        <f t="shared" si="15"/>
        <v>0.20719217010878874</v>
      </c>
      <c r="S109">
        <f t="shared" si="16"/>
        <v>299717768.05201256</v>
      </c>
    </row>
    <row r="110" spans="1:19" x14ac:dyDescent="0.2">
      <c r="A110" t="s">
        <v>65</v>
      </c>
      <c r="B110" t="s">
        <v>21</v>
      </c>
      <c r="C110">
        <v>0.33870967747580599</v>
      </c>
      <c r="D110">
        <v>-0.245814618642166</v>
      </c>
      <c r="E110">
        <v>0.13224503852165501</v>
      </c>
      <c r="F110">
        <v>4.3100603019242303E-2</v>
      </c>
      <c r="G110">
        <v>2.7633702215099998E-3</v>
      </c>
      <c r="H110">
        <v>1.9486334306264199E-2</v>
      </c>
      <c r="I110">
        <v>2.01983909444526E-2</v>
      </c>
      <c r="J110">
        <v>4.2085557820896603E-2</v>
      </c>
      <c r="K110">
        <v>41219.070969048502</v>
      </c>
      <c r="L110">
        <f t="shared" si="9"/>
        <v>0.34166865275221059</v>
      </c>
      <c r="M110">
        <f t="shared" si="10"/>
        <v>4.2627647138467922E-2</v>
      </c>
      <c r="N110">
        <f t="shared" si="11"/>
        <v>8.7384724901066219E-2</v>
      </c>
      <c r="O110">
        <f t="shared" si="12"/>
        <v>0.11285992135779783</v>
      </c>
      <c r="P110">
        <f t="shared" si="13"/>
        <v>0.10190354282433906</v>
      </c>
      <c r="Q110">
        <f t="shared" si="14"/>
        <v>0.10144943964785791</v>
      </c>
      <c r="R110">
        <f t="shared" si="15"/>
        <v>8.798586836104999E-2</v>
      </c>
      <c r="S110">
        <f t="shared" si="16"/>
        <v>1698983889.0697138</v>
      </c>
    </row>
    <row r="111" spans="1:19" x14ac:dyDescent="0.2">
      <c r="A111" t="s">
        <v>65</v>
      </c>
      <c r="B111" t="s">
        <v>22</v>
      </c>
      <c r="C111">
        <v>0.45574895620692601</v>
      </c>
      <c r="D111">
        <v>5.9489797157860997E-3</v>
      </c>
      <c r="E111">
        <v>0.245429409581265</v>
      </c>
      <c r="F111">
        <v>7.3521472801934801E-2</v>
      </c>
      <c r="G111">
        <v>8.8168551638724002E-3</v>
      </c>
      <c r="H111">
        <v>3.5396537130806899E-2</v>
      </c>
      <c r="I111">
        <v>3.6439454282198899E-2</v>
      </c>
      <c r="J111">
        <v>7.0336029531267802E-2</v>
      </c>
      <c r="K111">
        <v>374634928.83247101</v>
      </c>
      <c r="L111">
        <f t="shared" si="9"/>
        <v>0.20232001885143</v>
      </c>
      <c r="M111">
        <f t="shared" si="10"/>
        <v>4.4234311692823602E-2</v>
      </c>
      <c r="N111">
        <f t="shared" si="11"/>
        <v>0.14609784907011286</v>
      </c>
      <c r="O111">
        <f t="shared" si="12"/>
        <v>0.19974830294275825</v>
      </c>
      <c r="P111">
        <f t="shared" si="13"/>
        <v>0.17669615622314525</v>
      </c>
      <c r="Q111">
        <f t="shared" si="14"/>
        <v>0.17582045840436272</v>
      </c>
      <c r="R111">
        <f t="shared" si="15"/>
        <v>0.14854312404869627</v>
      </c>
      <c r="S111">
        <f t="shared" si="16"/>
        <v>1.4035132955983165E+17</v>
      </c>
    </row>
    <row r="112" spans="1:19" x14ac:dyDescent="0.2">
      <c r="A112" t="s">
        <v>65</v>
      </c>
      <c r="B112" t="s">
        <v>23</v>
      </c>
      <c r="C112">
        <v>0.46339433331463498</v>
      </c>
      <c r="D112">
        <v>2.4365453800802898E-2</v>
      </c>
      <c r="E112">
        <v>0.26816044139303102</v>
      </c>
      <c r="F112">
        <v>0.11904127672352501</v>
      </c>
      <c r="G112">
        <v>1.98342671687964E-2</v>
      </c>
      <c r="H112">
        <v>5.9701598498708298E-2</v>
      </c>
      <c r="I112">
        <v>6.3182206633694504E-2</v>
      </c>
      <c r="J112">
        <v>0.109304840573374</v>
      </c>
      <c r="K112">
        <v>2802219.8496939801</v>
      </c>
      <c r="L112">
        <f t="shared" si="9"/>
        <v>0.19274635704717089</v>
      </c>
      <c r="M112">
        <f t="shared" si="10"/>
        <v>3.8116272554856535E-2</v>
      </c>
      <c r="N112">
        <f t="shared" si="11"/>
        <v>0.1185790275836402</v>
      </c>
      <c r="O112">
        <f t="shared" si="12"/>
        <v>0.19674553227930072</v>
      </c>
      <c r="P112">
        <f t="shared" si="13"/>
        <v>0.16296782414316208</v>
      </c>
      <c r="Q112">
        <f t="shared" si="14"/>
        <v>0.16016974634248116</v>
      </c>
      <c r="R112">
        <f t="shared" si="15"/>
        <v>0.12537936886976353</v>
      </c>
      <c r="S112">
        <f t="shared" si="16"/>
        <v>7852433488953.5703</v>
      </c>
    </row>
    <row r="113" spans="1:19" x14ac:dyDescent="0.2">
      <c r="A113" t="s">
        <v>65</v>
      </c>
      <c r="B113" t="s">
        <v>24</v>
      </c>
      <c r="C113">
        <v>0.436102768706364</v>
      </c>
      <c r="D113">
        <v>-0.10531043953207</v>
      </c>
      <c r="E113">
        <v>0.15594727657183999</v>
      </c>
      <c r="F113">
        <v>6.9732666651298E-2</v>
      </c>
      <c r="G113">
        <v>7.9977202247193992E-3</v>
      </c>
      <c r="H113">
        <v>2.8603432702903199E-2</v>
      </c>
      <c r="I113">
        <v>3.0676477667386098E-2</v>
      </c>
      <c r="J113">
        <v>6.2095356143750197E-2</v>
      </c>
      <c r="K113">
        <v>50559458.660892799</v>
      </c>
      <c r="L113">
        <f t="shared" si="9"/>
        <v>0.29312826205503389</v>
      </c>
      <c r="M113">
        <f t="shared" si="10"/>
        <v>7.848709977313735E-2</v>
      </c>
      <c r="N113">
        <f t="shared" si="11"/>
        <v>0.13422705167983948</v>
      </c>
      <c r="O113">
        <f t="shared" si="12"/>
        <v>0.18327393253547128</v>
      </c>
      <c r="P113">
        <f t="shared" si="13"/>
        <v>0.16605570884326143</v>
      </c>
      <c r="Q113">
        <f t="shared" si="14"/>
        <v>0.164370477465622</v>
      </c>
      <c r="R113">
        <f t="shared" si="15"/>
        <v>0.13988154465178124</v>
      </c>
      <c r="S113">
        <f t="shared" si="16"/>
        <v>2556258815984288</v>
      </c>
    </row>
    <row r="114" spans="1:19" x14ac:dyDescent="0.2">
      <c r="A114" t="s">
        <v>65</v>
      </c>
      <c r="B114" t="s">
        <v>25</v>
      </c>
      <c r="C114">
        <v>0.62024176957991595</v>
      </c>
      <c r="D114">
        <v>0.198449441586563</v>
      </c>
      <c r="E114">
        <v>0.32260122999123098</v>
      </c>
      <c r="F114">
        <v>0.20953092199017101</v>
      </c>
      <c r="G114">
        <v>5.6253688887831499E-2</v>
      </c>
      <c r="H114">
        <v>0.14593784033374399</v>
      </c>
      <c r="I114">
        <v>0.145447750917857</v>
      </c>
      <c r="J114">
        <v>0.210277058695996</v>
      </c>
      <c r="K114">
        <v>594.60039619590896</v>
      </c>
      <c r="L114">
        <f t="shared" si="9"/>
        <v>0.17790876795405225</v>
      </c>
      <c r="M114">
        <f t="shared" si="10"/>
        <v>8.8589890806643548E-2</v>
      </c>
      <c r="N114">
        <f t="shared" si="11"/>
        <v>0.16868340032788673</v>
      </c>
      <c r="O114">
        <f t="shared" si="12"/>
        <v>0.3180825551627412</v>
      </c>
      <c r="P114">
        <f t="shared" si="13"/>
        <v>0.22496421729835767</v>
      </c>
      <c r="Q114">
        <f t="shared" si="14"/>
        <v>0.22542936015726758</v>
      </c>
      <c r="R114">
        <f t="shared" si="15"/>
        <v>0.16807106417013606</v>
      </c>
      <c r="S114">
        <f t="shared" si="16"/>
        <v>352812.42385232565</v>
      </c>
    </row>
    <row r="115" spans="1:19" x14ac:dyDescent="0.2">
      <c r="A115" t="s">
        <v>65</v>
      </c>
      <c r="B115" t="s">
        <v>26</v>
      </c>
      <c r="C115">
        <v>0.53797376661758001</v>
      </c>
      <c r="D115">
        <v>-0.11185758209630101</v>
      </c>
      <c r="E115">
        <v>0.199867980878526</v>
      </c>
      <c r="F115">
        <v>0.12377584825014</v>
      </c>
      <c r="G115">
        <v>1.7804189281845399E-2</v>
      </c>
      <c r="H115">
        <v>8.1949403025581097E-2</v>
      </c>
      <c r="I115">
        <v>8.1056391669580299E-2</v>
      </c>
      <c r="J115">
        <v>0.124940075868033</v>
      </c>
      <c r="K115">
        <v>41.708565279917998</v>
      </c>
      <c r="L115">
        <f t="shared" si="9"/>
        <v>0.42228078177130168</v>
      </c>
      <c r="M115">
        <f t="shared" si="10"/>
        <v>0.11431552235022312</v>
      </c>
      <c r="N115">
        <f t="shared" si="11"/>
        <v>0.17155991557992051</v>
      </c>
      <c r="O115">
        <f t="shared" si="12"/>
        <v>0.27057638918563681</v>
      </c>
      <c r="P115">
        <f t="shared" si="13"/>
        <v>0.20795822018948765</v>
      </c>
      <c r="Q115">
        <f t="shared" si="14"/>
        <v>0.20877348752937097</v>
      </c>
      <c r="R115">
        <f t="shared" si="15"/>
        <v>0.17059682969419243</v>
      </c>
      <c r="S115">
        <f t="shared" si="16"/>
        <v>1695.0176055550442</v>
      </c>
    </row>
    <row r="116" spans="1:19" x14ac:dyDescent="0.2">
      <c r="A116" t="s">
        <v>65</v>
      </c>
      <c r="B116" t="s">
        <v>27</v>
      </c>
      <c r="C116">
        <v>0.66029379257698295</v>
      </c>
      <c r="D116">
        <v>3.9867409597996603E-2</v>
      </c>
      <c r="E116">
        <v>0.229528321061262</v>
      </c>
      <c r="F116">
        <v>0.12176757865715</v>
      </c>
      <c r="G116">
        <v>1.9666509676683999E-2</v>
      </c>
      <c r="H116">
        <v>8.1246518122807906E-2</v>
      </c>
      <c r="I116">
        <v>7.9559599155269306E-2</v>
      </c>
      <c r="J116">
        <v>0.124274587640659</v>
      </c>
      <c r="K116">
        <v>1627.9822527353399</v>
      </c>
      <c r="L116">
        <f t="shared" si="9"/>
        <v>0.3849288966963878</v>
      </c>
      <c r="M116">
        <f t="shared" si="10"/>
        <v>0.18555889145016141</v>
      </c>
      <c r="N116">
        <f t="shared" si="11"/>
        <v>0.29001048307882965</v>
      </c>
      <c r="O116">
        <f t="shared" si="12"/>
        <v>0.41040331559621962</v>
      </c>
      <c r="P116">
        <f t="shared" si="13"/>
        <v>0.33529574605280871</v>
      </c>
      <c r="Q116">
        <f t="shared" si="14"/>
        <v>0.33725220340916828</v>
      </c>
      <c r="R116">
        <f t="shared" si="15"/>
        <v>0.28731658806056881</v>
      </c>
      <c r="S116">
        <f t="shared" si="16"/>
        <v>2648176.7580573112</v>
      </c>
    </row>
    <row r="117" spans="1:19" x14ac:dyDescent="0.2">
      <c r="A117" t="s">
        <v>65</v>
      </c>
      <c r="B117" t="s">
        <v>28</v>
      </c>
      <c r="C117">
        <v>0.59111818824552997</v>
      </c>
      <c r="D117">
        <v>-7.1132536508673003E-2</v>
      </c>
      <c r="E117">
        <v>0.223709652672689</v>
      </c>
      <c r="F117">
        <v>0.12885841609330501</v>
      </c>
      <c r="G117">
        <v>1.9918205752300699E-2</v>
      </c>
      <c r="H117">
        <v>8.1876054307845697E-2</v>
      </c>
      <c r="I117">
        <v>8.1876935396552802E-2</v>
      </c>
      <c r="J117">
        <v>0.128778273181019</v>
      </c>
      <c r="K117">
        <v>157.218205426428</v>
      </c>
      <c r="L117">
        <f t="shared" si="9"/>
        <v>0.43857602243746713</v>
      </c>
      <c r="M117">
        <f t="shared" si="10"/>
        <v>0.13498903201177956</v>
      </c>
      <c r="N117">
        <f t="shared" si="11"/>
        <v>0.21368409695022694</v>
      </c>
      <c r="O117">
        <f t="shared" si="12"/>
        <v>0.32626942000026538</v>
      </c>
      <c r="P117">
        <f t="shared" si="13"/>
        <v>0.25932755097740634</v>
      </c>
      <c r="Q117">
        <f t="shared" si="14"/>
        <v>0.25932665360319584</v>
      </c>
      <c r="R117">
        <f t="shared" si="15"/>
        <v>0.21375819706185925</v>
      </c>
      <c r="S117">
        <f t="shared" si="16"/>
        <v>24532.04445671722</v>
      </c>
    </row>
    <row r="118" spans="1:19" x14ac:dyDescent="0.2">
      <c r="A118" t="s">
        <v>65</v>
      </c>
      <c r="B118" t="s">
        <v>29</v>
      </c>
      <c r="C118">
        <v>0.60540352506747996</v>
      </c>
      <c r="D118">
        <v>6.5797381490905998E-2</v>
      </c>
      <c r="E118">
        <v>0.26953556259762401</v>
      </c>
      <c r="F118">
        <v>0.13460314456976699</v>
      </c>
      <c r="G118">
        <v>2.4927121438806099E-2</v>
      </c>
      <c r="H118">
        <v>0.102518628008459</v>
      </c>
      <c r="I118">
        <v>9.8512846136261698E-2</v>
      </c>
      <c r="J118">
        <v>0.14141229072872899</v>
      </c>
      <c r="K118">
        <v>652.64315721469904</v>
      </c>
      <c r="L118">
        <f t="shared" si="9"/>
        <v>0.29117479018558218</v>
      </c>
      <c r="M118">
        <f t="shared" si="10"/>
        <v>0.11280728821365256</v>
      </c>
      <c r="N118">
        <f t="shared" si="11"/>
        <v>0.22165299827679133</v>
      </c>
      <c r="O118">
        <f t="shared" si="12"/>
        <v>0.33695285516967904</v>
      </c>
      <c r="P118">
        <f t="shared" si="13"/>
        <v>0.25289321969006212</v>
      </c>
      <c r="Q118">
        <f t="shared" si="14"/>
        <v>0.25693816038735146</v>
      </c>
      <c r="R118">
        <f t="shared" si="15"/>
        <v>0.21528786554319776</v>
      </c>
      <c r="S118">
        <f t="shared" si="16"/>
        <v>425153.23223662068</v>
      </c>
    </row>
    <row r="119" spans="1:19" x14ac:dyDescent="0.2">
      <c r="A119" t="s">
        <v>65</v>
      </c>
      <c r="B119" t="s">
        <v>30</v>
      </c>
      <c r="C119">
        <v>0.57335106386447898</v>
      </c>
      <c r="D119">
        <v>-3.7355693188294098E-2</v>
      </c>
      <c r="E119">
        <v>0.23065107138110699</v>
      </c>
      <c r="F119">
        <v>0.117316506565124</v>
      </c>
      <c r="G119">
        <v>1.7506772476754601E-2</v>
      </c>
      <c r="H119">
        <v>6.5339275059141097E-2</v>
      </c>
      <c r="I119">
        <v>6.7601210403369305E-2</v>
      </c>
      <c r="J119">
        <v>0.112844174206675</v>
      </c>
      <c r="K119">
        <v>1700.8004576525</v>
      </c>
      <c r="L119">
        <f t="shared" si="9"/>
        <v>0.37296274310991484</v>
      </c>
      <c r="M119">
        <f t="shared" si="10"/>
        <v>0.11744328484810324</v>
      </c>
      <c r="N119">
        <f t="shared" si="11"/>
        <v>0.20796751745121869</v>
      </c>
      <c r="O119">
        <f t="shared" si="12"/>
        <v>0.30896287626832147</v>
      </c>
      <c r="P119">
        <f t="shared" si="13"/>
        <v>0.25807597756519929</v>
      </c>
      <c r="Q119">
        <f t="shared" si="14"/>
        <v>0.25578291427593391</v>
      </c>
      <c r="R119">
        <f t="shared" si="15"/>
        <v>0.21206659542230483</v>
      </c>
      <c r="S119">
        <f t="shared" si="16"/>
        <v>2890772.2139787632</v>
      </c>
    </row>
    <row r="120" spans="1:19" x14ac:dyDescent="0.2">
      <c r="A120" t="s">
        <v>65</v>
      </c>
      <c r="B120" t="s">
        <v>31</v>
      </c>
      <c r="C120">
        <v>0.443520544870594</v>
      </c>
      <c r="D120">
        <v>-1.7305058912149202E-2</v>
      </c>
      <c r="E120">
        <v>0.28752610279983498</v>
      </c>
      <c r="F120">
        <v>9.6331455554398995E-2</v>
      </c>
      <c r="G120">
        <v>1.2915498102215E-2</v>
      </c>
      <c r="H120">
        <v>5.98639909591843E-2</v>
      </c>
      <c r="I120">
        <v>5.8631577102708797E-2</v>
      </c>
      <c r="J120">
        <v>9.8597143006770901E-2</v>
      </c>
      <c r="K120">
        <v>12276.125677599701</v>
      </c>
      <c r="L120">
        <f t="shared" si="9"/>
        <v>0.2123602371017298</v>
      </c>
      <c r="M120">
        <f t="shared" si="10"/>
        <v>2.4334265956967392E-2</v>
      </c>
      <c r="N120">
        <f t="shared" si="11"/>
        <v>0.12054026374020885</v>
      </c>
      <c r="O120">
        <f t="shared" si="12"/>
        <v>0.18542070630239788</v>
      </c>
      <c r="P120">
        <f t="shared" si="13"/>
        <v>0.14719235135917841</v>
      </c>
      <c r="Q120">
        <f t="shared" si="14"/>
        <v>0.14813951750942819</v>
      </c>
      <c r="R120">
        <f t="shared" si="15"/>
        <v>0.1189721531533124</v>
      </c>
      <c r="S120">
        <f t="shared" si="16"/>
        <v>150692372.42103434</v>
      </c>
    </row>
    <row r="121" spans="1:19" x14ac:dyDescent="0.2">
      <c r="A121" t="s">
        <v>65</v>
      </c>
      <c r="B121" t="s">
        <v>32</v>
      </c>
      <c r="C121">
        <v>0.67157946454350503</v>
      </c>
      <c r="D121">
        <v>0.17059375619068701</v>
      </c>
      <c r="E121">
        <v>0.216860290659322</v>
      </c>
      <c r="F121">
        <v>0.14312037733350999</v>
      </c>
      <c r="G121">
        <v>2.67700267469436E-2</v>
      </c>
      <c r="H121">
        <v>0.109791720294449</v>
      </c>
      <c r="I121">
        <v>0.105882391714022</v>
      </c>
      <c r="J121">
        <v>0.149100094350748</v>
      </c>
      <c r="K121">
        <v>187.718759396998</v>
      </c>
      <c r="L121">
        <f t="shared" si="9"/>
        <v>0.25098667997377477</v>
      </c>
      <c r="M121">
        <f t="shared" si="10"/>
        <v>0.20676952709791388</v>
      </c>
      <c r="N121">
        <f t="shared" si="11"/>
        <v>0.27926900685482114</v>
      </c>
      <c r="O121">
        <f t="shared" si="12"/>
        <v>0.41577921107151761</v>
      </c>
      <c r="P121">
        <f t="shared" si="13"/>
        <v>0.31560546958844271</v>
      </c>
      <c r="Q121">
        <f t="shared" si="14"/>
        <v>0.32001317820784542</v>
      </c>
      <c r="R121">
        <f t="shared" si="15"/>
        <v>0.27298469227702005</v>
      </c>
      <c r="S121">
        <f t="shared" si="16"/>
        <v>34986.647520684011</v>
      </c>
    </row>
    <row r="122" spans="1:19" x14ac:dyDescent="0.2">
      <c r="A122" t="s">
        <v>65</v>
      </c>
      <c r="B122" t="s">
        <v>33</v>
      </c>
      <c r="C122">
        <v>0.41955820866298099</v>
      </c>
      <c r="D122">
        <v>-0.118510325134755</v>
      </c>
      <c r="E122">
        <v>0.17459309490576599</v>
      </c>
      <c r="F122">
        <v>9.0473325897347495E-2</v>
      </c>
      <c r="G122">
        <v>1.0638790734669E-2</v>
      </c>
      <c r="H122">
        <v>4.8177376789215499E-2</v>
      </c>
      <c r="I122">
        <v>4.9726009351931298E-2</v>
      </c>
      <c r="J122">
        <v>8.7665663859988502E-2</v>
      </c>
      <c r="K122">
        <v>1283.5034710923301</v>
      </c>
      <c r="L122">
        <f t="shared" si="9"/>
        <v>0.28951774706324535</v>
      </c>
      <c r="M122">
        <f t="shared" si="10"/>
        <v>6.0007906958085284E-2</v>
      </c>
      <c r="N122">
        <f t="shared" si="11"/>
        <v>0.10829686006487076</v>
      </c>
      <c r="O122">
        <f t="shared" si="12"/>
        <v>0.16721509035882948</v>
      </c>
      <c r="P122">
        <f t="shared" si="13"/>
        <v>0.13792372228325006</v>
      </c>
      <c r="Q122">
        <f t="shared" si="14"/>
        <v>0.13677585564724801</v>
      </c>
      <c r="R122">
        <f t="shared" si="15"/>
        <v>0.11015266129580636</v>
      </c>
      <c r="S122">
        <f t="shared" si="16"/>
        <v>1646304.3275008621</v>
      </c>
    </row>
    <row r="123" spans="1:19" x14ac:dyDescent="0.2">
      <c r="A123" t="s">
        <v>65</v>
      </c>
      <c r="B123" t="s">
        <v>34</v>
      </c>
      <c r="C123">
        <v>0.50730434754505704</v>
      </c>
      <c r="D123">
        <v>-3.3581738342935902E-2</v>
      </c>
      <c r="E123">
        <v>0.15137324408471201</v>
      </c>
      <c r="F123">
        <v>9.6286299643687998E-2</v>
      </c>
      <c r="G123">
        <v>1.2292105013063199E-2</v>
      </c>
      <c r="H123">
        <v>6.6645392951113006E-2</v>
      </c>
      <c r="I123">
        <v>6.4131727051065596E-2</v>
      </c>
      <c r="J123">
        <v>9.9939565781992701E-2</v>
      </c>
      <c r="K123">
        <v>851.06846914032496</v>
      </c>
      <c r="L123">
        <f t="shared" si="9"/>
        <v>0.29255775790723326</v>
      </c>
      <c r="M123">
        <f t="shared" si="10"/>
        <v>0.12668695041049888</v>
      </c>
      <c r="N123">
        <f t="shared" si="11"/>
        <v>0.1689358357006521</v>
      </c>
      <c r="O123">
        <f t="shared" si="12"/>
        <v>0.24503712025655347</v>
      </c>
      <c r="P123">
        <f t="shared" si="13"/>
        <v>0.19418031426382765</v>
      </c>
      <c r="Q123">
        <f t="shared" si="14"/>
        <v>0.19640197155551134</v>
      </c>
      <c r="R123">
        <f t="shared" si="15"/>
        <v>0.16594606542086904</v>
      </c>
      <c r="S123">
        <f t="shared" si="16"/>
        <v>723454.29505365051</v>
      </c>
    </row>
    <row r="124" spans="1:19" x14ac:dyDescent="0.2">
      <c r="A124" t="s">
        <v>65</v>
      </c>
      <c r="B124" t="s">
        <v>35</v>
      </c>
      <c r="C124">
        <v>0.67769598822917698</v>
      </c>
      <c r="D124">
        <v>5.5820237888653798E-2</v>
      </c>
      <c r="E124">
        <v>0.19741401140532899</v>
      </c>
      <c r="F124">
        <v>0.110652471983333</v>
      </c>
      <c r="G124">
        <v>1.6676782179182201E-2</v>
      </c>
      <c r="H124">
        <v>7.68267261174541E-2</v>
      </c>
      <c r="I124">
        <v>7.4074175224151204E-2</v>
      </c>
      <c r="J124">
        <v>0.115137647676927</v>
      </c>
      <c r="K124">
        <v>2877.58315638671</v>
      </c>
      <c r="L124">
        <f t="shared" si="9"/>
        <v>0.38672944886158878</v>
      </c>
      <c r="M124">
        <f t="shared" si="10"/>
        <v>0.23067077726182325</v>
      </c>
      <c r="N124">
        <f t="shared" si="11"/>
        <v>0.32153834931645081</v>
      </c>
      <c r="O124">
        <f t="shared" si="12"/>
        <v>0.4369463907669654</v>
      </c>
      <c r="P124">
        <f t="shared" si="13"/>
        <v>0.36104387015068634</v>
      </c>
      <c r="Q124">
        <f t="shared" si="14"/>
        <v>0.36435929313547438</v>
      </c>
      <c r="R124">
        <f t="shared" si="15"/>
        <v>0.31647188652490121</v>
      </c>
      <c r="S124">
        <f t="shared" si="16"/>
        <v>8276585.028070596</v>
      </c>
    </row>
    <row r="125" spans="1:19" x14ac:dyDescent="0.2">
      <c r="A125" t="s">
        <v>65</v>
      </c>
      <c r="B125" t="s">
        <v>36</v>
      </c>
      <c r="C125">
        <v>0.57217330198650096</v>
      </c>
      <c r="D125">
        <v>-3.77734285257771E-2</v>
      </c>
      <c r="E125">
        <v>0.19654228239211999</v>
      </c>
      <c r="F125">
        <v>0.131101281398736</v>
      </c>
      <c r="G125">
        <v>2.2951726722993102E-2</v>
      </c>
      <c r="H125">
        <v>8.2612736323871699E-2</v>
      </c>
      <c r="I125">
        <v>8.2200298418102793E-2</v>
      </c>
      <c r="J125">
        <v>0.13251992349855499</v>
      </c>
      <c r="K125">
        <v>944.40605712998695</v>
      </c>
      <c r="L125">
        <f t="shared" si="9"/>
        <v>0.37203501406261763</v>
      </c>
      <c r="M125">
        <f t="shared" si="10"/>
        <v>0.14109866288151421</v>
      </c>
      <c r="N125">
        <f t="shared" si="11"/>
        <v>0.19454452734537375</v>
      </c>
      <c r="O125">
        <f t="shared" si="12"/>
        <v>0.30164433873492907</v>
      </c>
      <c r="P125">
        <f t="shared" si="13"/>
        <v>0.23966954745191357</v>
      </c>
      <c r="Q125">
        <f t="shared" si="14"/>
        <v>0.24007354422583754</v>
      </c>
      <c r="R125">
        <f t="shared" si="15"/>
        <v>0.19329509321586505</v>
      </c>
      <c r="S125">
        <f t="shared" si="16"/>
        <v>890822.40026184754</v>
      </c>
    </row>
    <row r="126" spans="1:19" x14ac:dyDescent="0.2">
      <c r="A126" t="s">
        <v>65</v>
      </c>
      <c r="B126" t="s">
        <v>37</v>
      </c>
      <c r="C126">
        <v>0.52998472117647</v>
      </c>
      <c r="D126">
        <v>0.109775536338028</v>
      </c>
      <c r="E126">
        <v>0.26045693505651002</v>
      </c>
      <c r="F126">
        <v>0.13192306657473199</v>
      </c>
      <c r="G126">
        <v>2.4834012767649499E-2</v>
      </c>
      <c r="H126">
        <v>7.8001405693663803E-2</v>
      </c>
      <c r="I126">
        <v>7.8819716691691799E-2</v>
      </c>
      <c r="J126">
        <v>0.12983112561264201</v>
      </c>
      <c r="K126">
        <v>579764.24770085199</v>
      </c>
      <c r="L126">
        <f t="shared" si="9"/>
        <v>0.1765757590225879</v>
      </c>
      <c r="M126">
        <f t="shared" si="10"/>
        <v>7.2645227490726896E-2</v>
      </c>
      <c r="N126">
        <f t="shared" si="11"/>
        <v>0.1584530808642734</v>
      </c>
      <c r="O126">
        <f t="shared" si="12"/>
        <v>0.25517723820593319</v>
      </c>
      <c r="P126">
        <f t="shared" si="13"/>
        <v>0.20428891747482991</v>
      </c>
      <c r="Q126">
        <f t="shared" si="14"/>
        <v>0.20354986127174993</v>
      </c>
      <c r="R126">
        <f t="shared" si="15"/>
        <v>0.16012290004265964</v>
      </c>
      <c r="S126">
        <f t="shared" si="16"/>
        <v>336125968380.02936</v>
      </c>
    </row>
    <row r="127" spans="1:19" x14ac:dyDescent="0.2">
      <c r="A127" t="s">
        <v>65</v>
      </c>
      <c r="B127" t="s">
        <v>38</v>
      </c>
      <c r="C127">
        <v>0.55969900539481299</v>
      </c>
      <c r="D127">
        <v>7.1419063105887803E-2</v>
      </c>
      <c r="E127">
        <v>0.28935642764162101</v>
      </c>
      <c r="F127">
        <v>0.16993269652311899</v>
      </c>
      <c r="G127">
        <v>3.5126829561968602E-2</v>
      </c>
      <c r="H127">
        <v>0.116468967839777</v>
      </c>
      <c r="I127">
        <v>0.116055169264402</v>
      </c>
      <c r="J127">
        <v>0.170243482509983</v>
      </c>
      <c r="K127">
        <v>159.002936987726</v>
      </c>
      <c r="L127">
        <f t="shared" si="9"/>
        <v>0.2384173020416761</v>
      </c>
      <c r="M127">
        <f t="shared" si="10"/>
        <v>7.3085109346240656E-2</v>
      </c>
      <c r="N127">
        <f t="shared" si="11"/>
        <v>0.15191777553146477</v>
      </c>
      <c r="O127">
        <f t="shared" si="12"/>
        <v>0.27517596765800467</v>
      </c>
      <c r="P127">
        <f t="shared" si="13"/>
        <v>0.19645286619103861</v>
      </c>
      <c r="Q127">
        <f t="shared" si="14"/>
        <v>0.19681985333650695</v>
      </c>
      <c r="R127">
        <f t="shared" si="15"/>
        <v>0.15167560430549634</v>
      </c>
      <c r="S127">
        <f t="shared" si="16"/>
        <v>25104.25966232564</v>
      </c>
    </row>
    <row r="128" spans="1:19" x14ac:dyDescent="0.2">
      <c r="A128" t="s">
        <v>65</v>
      </c>
      <c r="B128" t="s">
        <v>39</v>
      </c>
      <c r="C128">
        <v>0.75799793606213595</v>
      </c>
      <c r="D128">
        <v>0.27162882717224002</v>
      </c>
      <c r="E128">
        <v>0.30246952520636899</v>
      </c>
      <c r="F128">
        <v>0.19447484121386999</v>
      </c>
      <c r="G128">
        <v>5.0429408022154003E-2</v>
      </c>
      <c r="H128">
        <v>0.14540231044006999</v>
      </c>
      <c r="I128">
        <v>0.14182495651643001</v>
      </c>
      <c r="J128">
        <v>0.20139157713464201</v>
      </c>
      <c r="K128">
        <v>7146.7647394142796</v>
      </c>
      <c r="L128">
        <f t="shared" si="9"/>
        <v>0.23655491008235144</v>
      </c>
      <c r="M128">
        <f t="shared" si="10"/>
        <v>0.20750613309678043</v>
      </c>
      <c r="N128">
        <f t="shared" si="11"/>
        <v>0.31755827842736767</v>
      </c>
      <c r="O128">
        <f t="shared" si="12"/>
        <v>0.5006532218726667</v>
      </c>
      <c r="P128">
        <f t="shared" si="13"/>
        <v>0.37527340053129038</v>
      </c>
      <c r="Q128">
        <f t="shared" si="14"/>
        <v>0.37966914072223296</v>
      </c>
      <c r="R128">
        <f t="shared" si="15"/>
        <v>0.30981063879852216</v>
      </c>
      <c r="S128">
        <f t="shared" si="16"/>
        <v>51065412.349252127</v>
      </c>
    </row>
    <row r="129" spans="1:19" x14ac:dyDescent="0.2">
      <c r="A129" t="s">
        <v>65</v>
      </c>
      <c r="B129" t="s">
        <v>40</v>
      </c>
      <c r="C129">
        <v>0.51864801862730803</v>
      </c>
      <c r="D129">
        <v>-5.7342657212522803E-2</v>
      </c>
      <c r="E129">
        <v>0.204984757243172</v>
      </c>
      <c r="F129">
        <v>0.119401922563018</v>
      </c>
      <c r="G129">
        <v>1.77706913861462E-2</v>
      </c>
      <c r="H129">
        <v>7.6549415248831507E-2</v>
      </c>
      <c r="I129">
        <v>7.6288261460580806E-2</v>
      </c>
      <c r="J129">
        <v>0.120352362550327</v>
      </c>
      <c r="K129">
        <v>769.22463238331397</v>
      </c>
      <c r="L129">
        <f t="shared" si="9"/>
        <v>0.33176525865442513</v>
      </c>
      <c r="M129">
        <f t="shared" si="10"/>
        <v>9.8384641542132834E-2</v>
      </c>
      <c r="N129">
        <f t="shared" si="11"/>
        <v>0.15939744522257629</v>
      </c>
      <c r="O129">
        <f t="shared" si="12"/>
        <v>0.25087809694424995</v>
      </c>
      <c r="P129">
        <f t="shared" si="13"/>
        <v>0.19545117510919949</v>
      </c>
      <c r="Q129">
        <f t="shared" si="14"/>
        <v>0.19568215476060585</v>
      </c>
      <c r="R129">
        <f t="shared" si="15"/>
        <v>0.15863942964979275</v>
      </c>
      <c r="S129">
        <f t="shared" si="16"/>
        <v>590908.89039808186</v>
      </c>
    </row>
    <row r="130" spans="1:19" x14ac:dyDescent="0.2">
      <c r="A130" t="s">
        <v>65</v>
      </c>
      <c r="B130" t="s">
        <v>41</v>
      </c>
      <c r="C130">
        <v>0.53925745590330598</v>
      </c>
      <c r="D130">
        <v>-0.135671268987197</v>
      </c>
      <c r="E130">
        <v>0.174013191549868</v>
      </c>
      <c r="F130">
        <v>7.1867302448524101E-2</v>
      </c>
      <c r="G130">
        <v>7.2691542813033E-3</v>
      </c>
      <c r="H130">
        <v>4.0364692139050203E-2</v>
      </c>
      <c r="I130">
        <v>3.9946658086117998E-2</v>
      </c>
      <c r="J130">
        <v>7.2737833108335204E-2</v>
      </c>
      <c r="K130">
        <v>6026.9989753637501</v>
      </c>
      <c r="L130">
        <f t="shared" si="9"/>
        <v>0.45552878368232019</v>
      </c>
      <c r="M130">
        <f t="shared" si="10"/>
        <v>0.13340337264308408</v>
      </c>
      <c r="N130">
        <f t="shared" si="11"/>
        <v>0.21845355554648452</v>
      </c>
      <c r="O130">
        <f t="shared" si="12"/>
        <v>0.28301155306266296</v>
      </c>
      <c r="P130">
        <f t="shared" si="13"/>
        <v>0.24889398973633753</v>
      </c>
      <c r="Q130">
        <f t="shared" si="14"/>
        <v>0.24931127281683679</v>
      </c>
      <c r="R130">
        <f t="shared" si="15"/>
        <v>0.21764055845276181</v>
      </c>
      <c r="S130">
        <f t="shared" si="16"/>
        <v>36318216.731565922</v>
      </c>
    </row>
    <row r="131" spans="1:19" x14ac:dyDescent="0.2">
      <c r="A131" t="s">
        <v>65</v>
      </c>
      <c r="B131" t="s">
        <v>42</v>
      </c>
      <c r="C131">
        <v>0.63020833366145801</v>
      </c>
      <c r="D131">
        <v>0.12832383746569301</v>
      </c>
      <c r="E131">
        <v>0.19346864226015401</v>
      </c>
      <c r="F131">
        <v>0.10042488984799799</v>
      </c>
      <c r="G131">
        <v>1.43678024698311E-2</v>
      </c>
      <c r="H131">
        <v>7.5995331038734695E-2</v>
      </c>
      <c r="I131">
        <v>7.1927166277477694E-2</v>
      </c>
      <c r="J131">
        <v>0.10607727825384</v>
      </c>
      <c r="K131">
        <v>1206.6995469240801</v>
      </c>
      <c r="L131">
        <f t="shared" ref="L131:L194" si="17">(D131-$C131)^2</f>
        <v>0.25188804752167687</v>
      </c>
      <c r="M131">
        <f t="shared" ref="M131:M194" si="18">(E131-$C131)^2</f>
        <v>0.19074155804530624</v>
      </c>
      <c r="N131">
        <f t="shared" ref="N131:N194" si="19">(F131-$C131)^2</f>
        <v>0.28067049733884952</v>
      </c>
      <c r="O131">
        <f t="shared" ref="O131:O194" si="20">(G131-$C131)^2</f>
        <v>0.37925955985838528</v>
      </c>
      <c r="P131">
        <f t="shared" ref="P131:P194" si="21">(H131-$C131)^2</f>
        <v>0.30715205227609471</v>
      </c>
      <c r="Q131">
        <f t="shared" ref="Q131:Q194" si="22">(I131-$C131)^2</f>
        <v>0.3116778618556198</v>
      </c>
      <c r="R131">
        <f t="shared" ref="R131:R194" si="23">(J131-$C131)^2</f>
        <v>0.27471336324270346</v>
      </c>
      <c r="S131">
        <f t="shared" ref="S131:S194" si="24">(K131-$C131)^2</f>
        <v>1454603.2494879302</v>
      </c>
    </row>
    <row r="132" spans="1:19" x14ac:dyDescent="0.2">
      <c r="A132" t="s">
        <v>65</v>
      </c>
      <c r="B132" t="s">
        <v>43</v>
      </c>
      <c r="C132">
        <v>0.54532650650681802</v>
      </c>
      <c r="D132">
        <v>-6.0117650617130099E-2</v>
      </c>
      <c r="E132">
        <v>0.15044578980783699</v>
      </c>
      <c r="F132">
        <v>9.7187648887867004E-2</v>
      </c>
      <c r="G132">
        <v>1.29498215408312E-2</v>
      </c>
      <c r="H132">
        <v>6.9621303122450101E-2</v>
      </c>
      <c r="I132">
        <v>6.6606207190361297E-2</v>
      </c>
      <c r="J132">
        <v>0.10164117111749101</v>
      </c>
      <c r="K132">
        <v>497.42889503962198</v>
      </c>
      <c r="L132">
        <f t="shared" si="17"/>
        <v>0.36656262739552803</v>
      </c>
      <c r="M132">
        <f t="shared" si="18"/>
        <v>0.15593078042070094</v>
      </c>
      <c r="N132">
        <f t="shared" si="19"/>
        <v>0.20082843570801845</v>
      </c>
      <c r="O132">
        <f t="shared" si="20"/>
        <v>0.28342493469537355</v>
      </c>
      <c r="P132">
        <f t="shared" si="21"/>
        <v>0.22629544052696288</v>
      </c>
      <c r="Q132">
        <f t="shared" si="22"/>
        <v>0.22917312497763789</v>
      </c>
      <c r="R132">
        <f t="shared" si="23"/>
        <v>0.19685667683953961</v>
      </c>
      <c r="S132">
        <f t="shared" si="24"/>
        <v>246893.28067820298</v>
      </c>
    </row>
    <row r="133" spans="1:19" x14ac:dyDescent="0.2">
      <c r="A133" t="s">
        <v>65</v>
      </c>
      <c r="B133" t="s">
        <v>44</v>
      </c>
      <c r="C133">
        <v>0.40639730633288401</v>
      </c>
      <c r="D133">
        <v>-0.11411736412508</v>
      </c>
      <c r="E133">
        <v>0.23580750699557301</v>
      </c>
      <c r="F133">
        <v>8.4598154192106395E-2</v>
      </c>
      <c r="G133">
        <v>1.0550756939214199E-2</v>
      </c>
      <c r="H133">
        <v>4.01446598382088E-2</v>
      </c>
      <c r="I133">
        <v>4.2352001149102397E-2</v>
      </c>
      <c r="J133">
        <v>7.8783086398106994E-2</v>
      </c>
      <c r="K133">
        <v>168304.09428308901</v>
      </c>
      <c r="L133">
        <f t="shared" si="17"/>
        <v>0.27093552216196282</v>
      </c>
      <c r="M133">
        <f t="shared" si="18"/>
        <v>2.9100879637944031E-2</v>
      </c>
      <c r="N133">
        <f t="shared" si="19"/>
        <v>0.10355469431852332</v>
      </c>
      <c r="O133">
        <f t="shared" si="20"/>
        <v>0.15669449066687507</v>
      </c>
      <c r="P133">
        <f t="shared" si="21"/>
        <v>0.13414100106435353</v>
      </c>
      <c r="Q133">
        <f t="shared" si="22"/>
        <v>0.1325289842263527</v>
      </c>
      <c r="R133">
        <f t="shared" si="23"/>
        <v>0.10733107710347245</v>
      </c>
      <c r="S133">
        <f t="shared" si="24"/>
        <v>28326131355.954952</v>
      </c>
    </row>
    <row r="134" spans="1:19" x14ac:dyDescent="0.2">
      <c r="A134" t="s">
        <v>65</v>
      </c>
      <c r="B134" t="s">
        <v>45</v>
      </c>
      <c r="C134">
        <v>0.53162665535787701</v>
      </c>
      <c r="D134">
        <v>-5.9801282493642097E-2</v>
      </c>
      <c r="E134">
        <v>0.14940769435623699</v>
      </c>
      <c r="F134">
        <v>8.4595161714620296E-2</v>
      </c>
      <c r="G134">
        <v>1.0024784760692899E-2</v>
      </c>
      <c r="H134">
        <v>5.8913427931350001E-2</v>
      </c>
      <c r="I134">
        <v>5.6010156040114598E-2</v>
      </c>
      <c r="J134">
        <v>8.9216698354156798E-2</v>
      </c>
      <c r="K134">
        <v>2622.23858557311</v>
      </c>
      <c r="L134">
        <f t="shared" si="17"/>
        <v>0.34978700567130039</v>
      </c>
      <c r="M134">
        <f t="shared" si="18"/>
        <v>0.14609133414917319</v>
      </c>
      <c r="N134">
        <f t="shared" si="19"/>
        <v>0.19983715630892107</v>
      </c>
      <c r="O134">
        <f t="shared" si="20"/>
        <v>0.27206851141048161</v>
      </c>
      <c r="P134">
        <f t="shared" si="21"/>
        <v>0.22345779538400343</v>
      </c>
      <c r="Q134">
        <f t="shared" si="22"/>
        <v>0.22621105442328307</v>
      </c>
      <c r="R134">
        <f t="shared" si="23"/>
        <v>0.19572657005603356</v>
      </c>
      <c r="S134">
        <f t="shared" si="24"/>
        <v>6873347.3784377687</v>
      </c>
    </row>
    <row r="135" spans="1:19" x14ac:dyDescent="0.2">
      <c r="A135" t="s">
        <v>65</v>
      </c>
      <c r="B135" t="s">
        <v>46</v>
      </c>
      <c r="C135">
        <v>0.47115986311688302</v>
      </c>
      <c r="D135">
        <v>1.0423293016590001E-4</v>
      </c>
      <c r="E135">
        <v>0.23797185104839699</v>
      </c>
      <c r="F135">
        <v>0.122452974567266</v>
      </c>
      <c r="G135">
        <v>2.0348102201162399E-2</v>
      </c>
      <c r="H135">
        <v>6.6513635449323094E-2</v>
      </c>
      <c r="I135">
        <v>6.8951687579518403E-2</v>
      </c>
      <c r="J135">
        <v>0.116559516571694</v>
      </c>
      <c r="K135">
        <v>16693.089266496099</v>
      </c>
      <c r="L135">
        <f t="shared" si="17"/>
        <v>0.22189340673060517</v>
      </c>
      <c r="M135">
        <f t="shared" si="18"/>
        <v>5.4376648972452382E-2</v>
      </c>
      <c r="N135">
        <f t="shared" si="19"/>
        <v>0.12159649412195501</v>
      </c>
      <c r="O135">
        <f t="shared" si="20"/>
        <v>0.20323124377993285</v>
      </c>
      <c r="P135">
        <f t="shared" si="21"/>
        <v>0.16373856956558674</v>
      </c>
      <c r="Q135">
        <f t="shared" si="22"/>
        <v>0.16177141646909549</v>
      </c>
      <c r="R135">
        <f t="shared" si="23"/>
        <v>0.12574140576996815</v>
      </c>
      <c r="S135">
        <f t="shared" si="24"/>
        <v>278643499.25389123</v>
      </c>
    </row>
    <row r="136" spans="1:19" x14ac:dyDescent="0.2">
      <c r="A136" t="s">
        <v>65</v>
      </c>
      <c r="B136" t="s">
        <v>47</v>
      </c>
      <c r="C136">
        <v>0.95833333333333304</v>
      </c>
      <c r="D136">
        <v>4.2592592576970699E-2</v>
      </c>
      <c r="E136">
        <v>0.31038995385782697</v>
      </c>
      <c r="F136">
        <v>0.13308641966206999</v>
      </c>
      <c r="G136">
        <v>2.4533682906524201E-2</v>
      </c>
      <c r="H136">
        <v>6.9878691209434199E-2</v>
      </c>
      <c r="I136">
        <v>7.3028557846704797E-2</v>
      </c>
      <c r="J136">
        <v>0.123821997090307</v>
      </c>
      <c r="K136">
        <v>28292437.134945199</v>
      </c>
      <c r="L136">
        <f t="shared" si="17"/>
        <v>0.83858110428101129</v>
      </c>
      <c r="M136">
        <f t="shared" si="18"/>
        <v>0.41983062300613966</v>
      </c>
      <c r="N136">
        <f t="shared" si="19"/>
        <v>0.68103246852394506</v>
      </c>
      <c r="O136">
        <f t="shared" si="20"/>
        <v>0.87198178713723029</v>
      </c>
      <c r="P136">
        <f t="shared" si="21"/>
        <v>0.78935165111150507</v>
      </c>
      <c r="Q136">
        <f t="shared" si="22"/>
        <v>0.7837645454994292</v>
      </c>
      <c r="R136">
        <f t="shared" si="23"/>
        <v>0.696409170318121</v>
      </c>
      <c r="S136">
        <f t="shared" si="24"/>
        <v>800461944807655.88</v>
      </c>
    </row>
    <row r="137" spans="1:19" x14ac:dyDescent="0.2">
      <c r="A137" t="s">
        <v>65</v>
      </c>
      <c r="B137" t="s">
        <v>48</v>
      </c>
      <c r="C137">
        <v>0.62013130917720305</v>
      </c>
      <c r="D137">
        <v>-2.7375640315818002E-3</v>
      </c>
      <c r="E137">
        <v>0.25499866177791197</v>
      </c>
      <c r="F137">
        <v>9.0908890331828904E-2</v>
      </c>
      <c r="G137">
        <v>1.16258987074039E-2</v>
      </c>
      <c r="H137">
        <v>0.36787892199348499</v>
      </c>
      <c r="I137">
        <v>6.6077130795039393E-2</v>
      </c>
      <c r="J137">
        <v>9.4943376749666394E-2</v>
      </c>
      <c r="K137">
        <v>473.74809532299099</v>
      </c>
      <c r="L137">
        <f t="shared" si="17"/>
        <v>0.38796563321238126</v>
      </c>
      <c r="M137">
        <f t="shared" si="18"/>
        <v>0.13332185019681503</v>
      </c>
      <c r="N137">
        <f t="shared" si="19"/>
        <v>0.28007636860854862</v>
      </c>
      <c r="O137">
        <f t="shared" si="20"/>
        <v>0.37027883457101868</v>
      </c>
      <c r="P137">
        <f t="shared" si="21"/>
        <v>6.3631266839884404E-2</v>
      </c>
      <c r="Q137">
        <f t="shared" si="22"/>
        <v>0.30697603258273443</v>
      </c>
      <c r="R137">
        <f t="shared" si="23"/>
        <v>0.27582236436751084</v>
      </c>
      <c r="S137">
        <f t="shared" si="24"/>
        <v>223850.07033185667</v>
      </c>
    </row>
    <row r="138" spans="1:19" x14ac:dyDescent="0.2">
      <c r="A138" t="s">
        <v>65</v>
      </c>
      <c r="B138" t="s">
        <v>49</v>
      </c>
      <c r="C138">
        <v>0.62047202334571006</v>
      </c>
      <c r="D138">
        <v>0.19004816806442201</v>
      </c>
      <c r="E138">
        <v>0.340595861782445</v>
      </c>
      <c r="F138">
        <v>0.197991837060463</v>
      </c>
      <c r="G138">
        <v>4.8907634354505701E-2</v>
      </c>
      <c r="H138">
        <v>0.137825458130132</v>
      </c>
      <c r="I138">
        <v>0.13759395541959299</v>
      </c>
      <c r="J138">
        <v>0.19812204403893899</v>
      </c>
      <c r="K138">
        <v>1726.97939711758</v>
      </c>
      <c r="L138">
        <f t="shared" si="17"/>
        <v>0.18526469519520716</v>
      </c>
      <c r="M138">
        <f t="shared" si="18"/>
        <v>7.833066581138684E-2</v>
      </c>
      <c r="N138">
        <f t="shared" si="19"/>
        <v>0.17848950780361708</v>
      </c>
      <c r="O138">
        <f t="shared" si="20"/>
        <v>0.32668585076288875</v>
      </c>
      <c r="P138">
        <f t="shared" si="21"/>
        <v>0.2329477069143952</v>
      </c>
      <c r="Q138">
        <f t="shared" si="22"/>
        <v>0.23317122848405974</v>
      </c>
      <c r="R138">
        <f t="shared" si="23"/>
        <v>0.17837950502042998</v>
      </c>
      <c r="S138">
        <f t="shared" si="24"/>
        <v>2980315.13825252</v>
      </c>
    </row>
    <row r="139" spans="1:19" x14ac:dyDescent="0.2">
      <c r="A139" t="s">
        <v>65</v>
      </c>
      <c r="B139" t="s">
        <v>50</v>
      </c>
      <c r="C139">
        <v>0.55105916374309205</v>
      </c>
      <c r="D139">
        <v>-9.5791406668500993E-3</v>
      </c>
      <c r="E139">
        <v>0.23143130818084201</v>
      </c>
      <c r="F139">
        <v>0.186616949538086</v>
      </c>
      <c r="G139">
        <v>4.2085383987579099E-2</v>
      </c>
      <c r="H139">
        <v>0.126723418486547</v>
      </c>
      <c r="I139">
        <v>0.12677891522930301</v>
      </c>
      <c r="J139">
        <v>0.18775723975352401</v>
      </c>
      <c r="K139">
        <v>90.018242310159195</v>
      </c>
      <c r="L139">
        <f t="shared" si="17"/>
        <v>0.31431530837165494</v>
      </c>
      <c r="M139">
        <f t="shared" si="18"/>
        <v>0.10216196605132258</v>
      </c>
      <c r="N139">
        <f t="shared" si="19"/>
        <v>0.13281812749464753</v>
      </c>
      <c r="O139">
        <f t="shared" si="20"/>
        <v>0.25905430847861338</v>
      </c>
      <c r="P139">
        <f t="shared" si="21"/>
        <v>0.18006082470242749</v>
      </c>
      <c r="Q139">
        <f t="shared" si="22"/>
        <v>0.18001372927892259</v>
      </c>
      <c r="R139">
        <f t="shared" si="23"/>
        <v>0.13198828797452189</v>
      </c>
      <c r="S139">
        <f t="shared" si="24"/>
        <v>8004.3768601543616</v>
      </c>
    </row>
    <row r="140" spans="1:19" x14ac:dyDescent="0.2">
      <c r="A140" t="s">
        <v>65</v>
      </c>
      <c r="B140" t="s">
        <v>51</v>
      </c>
      <c r="C140">
        <v>0.58355413588320904</v>
      </c>
      <c r="D140">
        <v>4.7840720361041797E-2</v>
      </c>
      <c r="E140">
        <v>0.202259715590037</v>
      </c>
      <c r="F140">
        <v>0.102233770580414</v>
      </c>
      <c r="G140">
        <v>1.4667114825952701E-2</v>
      </c>
      <c r="H140">
        <v>7.2368804086779703E-2</v>
      </c>
      <c r="I140">
        <v>6.9281560926653704E-2</v>
      </c>
      <c r="J140">
        <v>0.106489517178847</v>
      </c>
      <c r="K140">
        <v>1329.54393920803</v>
      </c>
      <c r="L140">
        <f t="shared" si="17"/>
        <v>0.28698886357042619</v>
      </c>
      <c r="M140">
        <f t="shared" si="18"/>
        <v>0.14538543494670614</v>
      </c>
      <c r="N140">
        <f t="shared" si="19"/>
        <v>0.23166929405521605</v>
      </c>
      <c r="O140">
        <f t="shared" si="20"/>
        <v>0.32363244272739916</v>
      </c>
      <c r="P140">
        <f t="shared" si="21"/>
        <v>0.26131044344382554</v>
      </c>
      <c r="Q140">
        <f t="shared" si="22"/>
        <v>0.26447628135244583</v>
      </c>
      <c r="R140">
        <f t="shared" si="23"/>
        <v>0.2275906504195383</v>
      </c>
      <c r="S140">
        <f t="shared" si="24"/>
        <v>1766135.705091109</v>
      </c>
    </row>
    <row r="141" spans="1:19" x14ac:dyDescent="0.2">
      <c r="A141" t="s">
        <v>65</v>
      </c>
      <c r="B141" t="s">
        <v>52</v>
      </c>
      <c r="C141">
        <v>0.60832025132156398</v>
      </c>
      <c r="D141">
        <v>3.9085457230755898E-2</v>
      </c>
      <c r="E141">
        <v>0.17920310391095901</v>
      </c>
      <c r="F141">
        <v>8.5058123040792896E-2</v>
      </c>
      <c r="G141">
        <v>1.03793433518354E-2</v>
      </c>
      <c r="H141">
        <v>5.68713351381352E-2</v>
      </c>
      <c r="I141">
        <v>5.4526466103770502E-2</v>
      </c>
      <c r="J141">
        <v>8.8825707732003795E-2</v>
      </c>
      <c r="K141">
        <v>13177.5863877762</v>
      </c>
      <c r="L141">
        <f t="shared" si="17"/>
        <v>0.3240282508036047</v>
      </c>
      <c r="M141">
        <f t="shared" si="18"/>
        <v>0.18414152620181487</v>
      </c>
      <c r="N141">
        <f t="shared" si="19"/>
        <v>0.27380325489292218</v>
      </c>
      <c r="O141">
        <f t="shared" si="20"/>
        <v>0.35753332942366339</v>
      </c>
      <c r="P141">
        <f t="shared" si="21"/>
        <v>0.30409590715987822</v>
      </c>
      <c r="Q141">
        <f t="shared" si="22"/>
        <v>0.3066875565458515</v>
      </c>
      <c r="R141">
        <f t="shared" si="23"/>
        <v>0.26987458081932542</v>
      </c>
      <c r="S141">
        <f t="shared" si="24"/>
        <v>173632750.99203169</v>
      </c>
    </row>
    <row r="142" spans="1:19" x14ac:dyDescent="0.2">
      <c r="A142" t="s">
        <v>65</v>
      </c>
      <c r="B142" t="s">
        <v>53</v>
      </c>
      <c r="C142">
        <v>0.54284479768257199</v>
      </c>
      <c r="D142">
        <v>5.7092081206854203E-2</v>
      </c>
      <c r="E142">
        <v>0.27470203792729297</v>
      </c>
      <c r="F142">
        <v>0.143040850227109</v>
      </c>
      <c r="G142">
        <v>2.7842550245852801E-2</v>
      </c>
      <c r="H142">
        <v>7.5006301094227998E-2</v>
      </c>
      <c r="I142">
        <v>7.9293964043223794E-2</v>
      </c>
      <c r="J142">
        <v>0.130720798761849</v>
      </c>
      <c r="K142">
        <v>363897.85370525799</v>
      </c>
      <c r="L142">
        <f t="shared" si="17"/>
        <v>0.23595570156353907</v>
      </c>
      <c r="M142">
        <f t="shared" si="18"/>
        <v>7.1900539609177277E-2</v>
      </c>
      <c r="N142">
        <f t="shared" si="19"/>
        <v>0.15984319640097061</v>
      </c>
      <c r="O142">
        <f t="shared" si="20"/>
        <v>0.26522731486487172</v>
      </c>
      <c r="P142">
        <f t="shared" si="21"/>
        <v>0.21887285889004193</v>
      </c>
      <c r="Q142">
        <f t="shared" si="22"/>
        <v>0.21487937536773466</v>
      </c>
      <c r="R142">
        <f t="shared" si="23"/>
        <v>0.16984619048640809</v>
      </c>
      <c r="S142">
        <f t="shared" si="24"/>
        <v>132421252851.4745</v>
      </c>
    </row>
    <row r="143" spans="1:19" x14ac:dyDescent="0.2">
      <c r="A143" t="s">
        <v>65</v>
      </c>
      <c r="B143" t="s">
        <v>54</v>
      </c>
      <c r="C143">
        <v>0.66706730774594303</v>
      </c>
      <c r="D143">
        <v>0.144247234161895</v>
      </c>
      <c r="E143">
        <v>0.27691601793670001</v>
      </c>
      <c r="F143">
        <v>0.194146645679525</v>
      </c>
      <c r="G143">
        <v>4.46447717215194E-2</v>
      </c>
      <c r="H143">
        <v>0.14732988021705901</v>
      </c>
      <c r="I143">
        <v>0.145010912675898</v>
      </c>
      <c r="J143">
        <v>0.197597480014372</v>
      </c>
      <c r="K143">
        <v>79.933229117281201</v>
      </c>
      <c r="L143">
        <f t="shared" si="17"/>
        <v>0.27334082934242937</v>
      </c>
      <c r="M143">
        <f t="shared" si="18"/>
        <v>0.15221802893981592</v>
      </c>
      <c r="N143">
        <f t="shared" si="19"/>
        <v>0.22365395260933915</v>
      </c>
      <c r="O143">
        <f t="shared" si="20"/>
        <v>0.38740981335107494</v>
      </c>
      <c r="P143">
        <f t="shared" si="21"/>
        <v>0.27012699357434189</v>
      </c>
      <c r="Q143">
        <f t="shared" si="22"/>
        <v>0.27254287963353085</v>
      </c>
      <c r="R143">
        <f t="shared" si="23"/>
        <v>0.22040191915031099</v>
      </c>
      <c r="S143">
        <f t="shared" si="24"/>
        <v>6283.1244080154265</v>
      </c>
    </row>
    <row r="144" spans="1:19" x14ac:dyDescent="0.2">
      <c r="A144" t="s">
        <v>65</v>
      </c>
      <c r="B144" t="s">
        <v>55</v>
      </c>
      <c r="C144">
        <v>0.50650845424137902</v>
      </c>
      <c r="D144">
        <v>1.51528478599618E-2</v>
      </c>
      <c r="E144">
        <v>0.26959039837347998</v>
      </c>
      <c r="F144">
        <v>0.11453441523296901</v>
      </c>
      <c r="G144">
        <v>1.8134551764972199E-2</v>
      </c>
      <c r="H144">
        <v>5.4106140232854698E-2</v>
      </c>
      <c r="I144">
        <v>5.8159797144605299E-2</v>
      </c>
      <c r="J144">
        <v>0.102689495197324</v>
      </c>
      <c r="K144">
        <v>16271018.5049213</v>
      </c>
      <c r="L144">
        <f t="shared" si="17"/>
        <v>0.24143033192245023</v>
      </c>
      <c r="M144">
        <f t="shared" si="18"/>
        <v>5.6130165196224935E-2</v>
      </c>
      <c r="N144">
        <f t="shared" si="19"/>
        <v>0.15364364725656651</v>
      </c>
      <c r="O144">
        <f t="shared" si="20"/>
        <v>0.23850906862003493</v>
      </c>
      <c r="P144">
        <f t="shared" si="21"/>
        <v>0.20466785372026744</v>
      </c>
      <c r="Q144">
        <f t="shared" si="22"/>
        <v>0.2010165183204804</v>
      </c>
      <c r="R144">
        <f t="shared" si="23"/>
        <v>0.16306975168342419</v>
      </c>
      <c r="S144">
        <f t="shared" si="24"/>
        <v>264746026704674.78</v>
      </c>
    </row>
    <row r="145" spans="1:19" x14ac:dyDescent="0.2">
      <c r="A145" t="s">
        <v>65</v>
      </c>
      <c r="B145" t="s">
        <v>56</v>
      </c>
      <c r="C145">
        <v>0.49779895415993702</v>
      </c>
      <c r="D145">
        <v>4.6023388725037598E-2</v>
      </c>
      <c r="E145">
        <v>0.27132855530557898</v>
      </c>
      <c r="F145">
        <v>0.13912262511378401</v>
      </c>
      <c r="G145">
        <v>2.6039311630990301E-2</v>
      </c>
      <c r="H145">
        <v>8.2005202922749307E-2</v>
      </c>
      <c r="I145">
        <v>8.3612892854877593E-2</v>
      </c>
      <c r="J145">
        <v>0.135446781855946</v>
      </c>
      <c r="K145">
        <v>6552.7519316239996</v>
      </c>
      <c r="L145">
        <f t="shared" si="17"/>
        <v>0.20410116152402311</v>
      </c>
      <c r="M145">
        <f t="shared" si="18"/>
        <v>5.1288841557252017E-2</v>
      </c>
      <c r="N145">
        <f t="shared" si="19"/>
        <v>0.12864870901802422</v>
      </c>
      <c r="O145">
        <f t="shared" si="20"/>
        <v>0.22255716031903958</v>
      </c>
      <c r="P145">
        <f t="shared" si="21"/>
        <v>0.17288444356789234</v>
      </c>
      <c r="Q145">
        <f t="shared" si="22"/>
        <v>0.17155009337939844</v>
      </c>
      <c r="R145">
        <f t="shared" si="23"/>
        <v>0.13129909677342119</v>
      </c>
      <c r="S145">
        <f t="shared" si="24"/>
        <v>42932034.219088987</v>
      </c>
    </row>
    <row r="146" spans="1:19" x14ac:dyDescent="0.2">
      <c r="A146" t="s">
        <v>65</v>
      </c>
      <c r="B146" t="s">
        <v>57</v>
      </c>
      <c r="C146">
        <v>0.45906908213866898</v>
      </c>
      <c r="D146">
        <v>2.4512501249066999E-2</v>
      </c>
      <c r="E146">
        <v>0.24306484746767501</v>
      </c>
      <c r="F146">
        <v>7.5340459230755205E-2</v>
      </c>
      <c r="G146">
        <v>9.5963131814163997E-3</v>
      </c>
      <c r="H146">
        <v>3.64949324364095E-2</v>
      </c>
      <c r="I146">
        <v>3.7177630189129098E-2</v>
      </c>
      <c r="J146">
        <v>7.2088755259070006E-2</v>
      </c>
      <c r="K146">
        <v>345667630.076545</v>
      </c>
      <c r="L146">
        <f t="shared" si="17"/>
        <v>0.18883942199446119</v>
      </c>
      <c r="M146">
        <f t="shared" si="18"/>
        <v>4.6657829395801834E-2</v>
      </c>
      <c r="N146">
        <f t="shared" si="19"/>
        <v>0.14724765603880388</v>
      </c>
      <c r="O146">
        <f t="shared" si="20"/>
        <v>0.20202577003409974</v>
      </c>
      <c r="P146">
        <f t="shared" si="21"/>
        <v>0.17856891199658761</v>
      </c>
      <c r="Q146">
        <f t="shared" si="22"/>
        <v>0.1779923972280909</v>
      </c>
      <c r="R146">
        <f t="shared" si="23"/>
        <v>0.14975377339184129</v>
      </c>
      <c r="S146">
        <f t="shared" si="24"/>
        <v>1.1948611016536453E+17</v>
      </c>
    </row>
    <row r="147" spans="1:19" x14ac:dyDescent="0.2">
      <c r="A147" t="s">
        <v>65</v>
      </c>
      <c r="B147" t="s">
        <v>58</v>
      </c>
      <c r="C147">
        <v>0.57911392447151799</v>
      </c>
      <c r="D147">
        <v>0.22368210299439101</v>
      </c>
      <c r="E147">
        <v>0.2031745191381</v>
      </c>
      <c r="F147">
        <v>9.5595221706815406E-2</v>
      </c>
      <c r="G147">
        <v>1.49871320042693E-2</v>
      </c>
      <c r="H147">
        <v>0.367878891723946</v>
      </c>
      <c r="I147">
        <v>8.3990496305479501E-2</v>
      </c>
      <c r="J147">
        <v>0.102675607837472</v>
      </c>
      <c r="K147">
        <v>1165.0333435817299</v>
      </c>
      <c r="L147">
        <f t="shared" si="17"/>
        <v>0.12633177971854828</v>
      </c>
      <c r="M147">
        <f t="shared" si="18"/>
        <v>0.14133043648244392</v>
      </c>
      <c r="N147">
        <f t="shared" si="19"/>
        <v>0.23379033592326082</v>
      </c>
      <c r="O147">
        <f t="shared" si="20"/>
        <v>0.3182390379793863</v>
      </c>
      <c r="P147">
        <f t="shared" si="21"/>
        <v>4.4620239059867811E-2</v>
      </c>
      <c r="Q147">
        <f t="shared" si="22"/>
        <v>0.24514720911889029</v>
      </c>
      <c r="R147">
        <f t="shared" si="23"/>
        <v>0.22699346955708349</v>
      </c>
      <c r="S147">
        <f t="shared" si="24"/>
        <v>1355953.6529666788</v>
      </c>
    </row>
    <row r="148" spans="1:19" x14ac:dyDescent="0.2">
      <c r="A148" t="s">
        <v>65</v>
      </c>
      <c r="B148" t="s">
        <v>59</v>
      </c>
      <c r="C148">
        <v>0.39251671130271198</v>
      </c>
      <c r="D148">
        <v>-0.154278052350134</v>
      </c>
      <c r="E148">
        <v>0.18119049133442899</v>
      </c>
      <c r="F148">
        <v>8.8459893515035998E-2</v>
      </c>
      <c r="G148">
        <v>9.8534669956718002E-3</v>
      </c>
      <c r="H148">
        <v>4.3974796305413698E-2</v>
      </c>
      <c r="I148">
        <v>4.6196144483355503E-2</v>
      </c>
      <c r="J148">
        <v>8.42407229836378E-2</v>
      </c>
      <c r="K148">
        <v>3343.0042334979198</v>
      </c>
      <c r="L148">
        <f t="shared" si="17"/>
        <v>0.29898451355817168</v>
      </c>
      <c r="M148">
        <f t="shared" si="18"/>
        <v>4.4658771246083126E-2</v>
      </c>
      <c r="N148">
        <f t="shared" si="19"/>
        <v>9.245054844316801E-2</v>
      </c>
      <c r="O148">
        <f t="shared" si="20"/>
        <v>0.14643115854358951</v>
      </c>
      <c r="P148">
        <f t="shared" si="21"/>
        <v>0.12148146650998391</v>
      </c>
      <c r="Q148">
        <f t="shared" si="22"/>
        <v>0.11993793500208035</v>
      </c>
      <c r="R148">
        <f t="shared" si="23"/>
        <v>9.5034084974101984E-2</v>
      </c>
      <c r="S148">
        <f t="shared" si="24"/>
        <v>11173053.089199178</v>
      </c>
    </row>
    <row r="149" spans="1:19" x14ac:dyDescent="0.2">
      <c r="A149" t="s">
        <v>65</v>
      </c>
      <c r="B149" t="s">
        <v>60</v>
      </c>
      <c r="C149">
        <v>0.56103725643135305</v>
      </c>
      <c r="D149">
        <v>-7.7016213271795999E-3</v>
      </c>
      <c r="E149">
        <v>0.20764815285143101</v>
      </c>
      <c r="F149">
        <v>0.15128359270216099</v>
      </c>
      <c r="G149">
        <v>2.96649089956415E-2</v>
      </c>
      <c r="H149">
        <v>0.10262274791466799</v>
      </c>
      <c r="I149">
        <v>0.10163214905191501</v>
      </c>
      <c r="J149">
        <v>0.15406909552584999</v>
      </c>
      <c r="K149">
        <v>219.49020668669499</v>
      </c>
      <c r="L149">
        <f t="shared" si="17"/>
        <v>0.3234639110740351</v>
      </c>
      <c r="M149">
        <f t="shared" si="18"/>
        <v>0.12488385852902087</v>
      </c>
      <c r="N149">
        <f t="shared" si="19"/>
        <v>0.16789806493949583</v>
      </c>
      <c r="O149">
        <f t="shared" si="20"/>
        <v>0.28235657161933858</v>
      </c>
      <c r="P149">
        <f t="shared" si="21"/>
        <v>0.21014386161859394</v>
      </c>
      <c r="Q149">
        <f t="shared" si="22"/>
        <v>0.21105305268631303</v>
      </c>
      <c r="R149">
        <f t="shared" si="23"/>
        <v>0.16562308399080741</v>
      </c>
      <c r="S149">
        <f t="shared" si="24"/>
        <v>47929.981227425087</v>
      </c>
    </row>
    <row r="150" spans="1:19" x14ac:dyDescent="0.2">
      <c r="A150" t="s">
        <v>65</v>
      </c>
      <c r="B150" t="s">
        <v>61</v>
      </c>
      <c r="C150">
        <v>0.57539682556444904</v>
      </c>
      <c r="D150">
        <v>-2.9140013796044199E-2</v>
      </c>
      <c r="E150">
        <v>0.279559692443695</v>
      </c>
      <c r="F150">
        <v>0.105752648882283</v>
      </c>
      <c r="G150">
        <v>1.4478677636896E-2</v>
      </c>
      <c r="H150">
        <v>6.4320375652623593E-2</v>
      </c>
      <c r="I150">
        <v>6.4150912725898193E-2</v>
      </c>
      <c r="J150">
        <v>0.105794250478524</v>
      </c>
      <c r="K150">
        <v>1582.1855932195899</v>
      </c>
      <c r="L150">
        <f t="shared" si="17"/>
        <v>0.36546479014397487</v>
      </c>
      <c r="M150">
        <f t="shared" si="18"/>
        <v>8.7519609333106749E-2</v>
      </c>
      <c r="N150">
        <f t="shared" si="19"/>
        <v>0.22056565269146963</v>
      </c>
      <c r="O150">
        <f t="shared" si="20"/>
        <v>0.31462916867447627</v>
      </c>
      <c r="P150">
        <f t="shared" si="21"/>
        <v>0.26119913765447461</v>
      </c>
      <c r="Q150">
        <f t="shared" si="22"/>
        <v>0.26137238339412311</v>
      </c>
      <c r="R150">
        <f t="shared" si="23"/>
        <v>0.2205265785273319</v>
      </c>
      <c r="S150">
        <f t="shared" si="24"/>
        <v>2501490.8133375477</v>
      </c>
    </row>
    <row r="151" spans="1:19" x14ac:dyDescent="0.2">
      <c r="A151" t="s">
        <v>65</v>
      </c>
      <c r="B151" t="s">
        <v>62</v>
      </c>
      <c r="C151">
        <v>0.56268762423868801</v>
      </c>
      <c r="D151">
        <v>-0.111717090477001</v>
      </c>
      <c r="E151">
        <v>0.19639653791584899</v>
      </c>
      <c r="F151">
        <v>6.7693387511417999E-2</v>
      </c>
      <c r="G151">
        <v>6.9971828272501002E-3</v>
      </c>
      <c r="H151">
        <v>4.2850493195131401E-2</v>
      </c>
      <c r="I151">
        <v>4.0788832723351702E-2</v>
      </c>
      <c r="J151">
        <v>7.12256061248428E-2</v>
      </c>
      <c r="K151">
        <v>7699.1636036221698</v>
      </c>
      <c r="L151">
        <f t="shared" si="17"/>
        <v>0.45482171923074982</v>
      </c>
      <c r="M151">
        <f t="shared" si="18"/>
        <v>0.13416915991956552</v>
      </c>
      <c r="N151">
        <f t="shared" si="19"/>
        <v>0.2450192943932126</v>
      </c>
      <c r="O151">
        <f t="shared" si="20"/>
        <v>0.30879186667603864</v>
      </c>
      <c r="P151">
        <f t="shared" si="21"/>
        <v>0.27023064281159581</v>
      </c>
      <c r="Q151">
        <f t="shared" si="22"/>
        <v>0.27237834858516852</v>
      </c>
      <c r="R151">
        <f t="shared" si="23"/>
        <v>0.24153491524853352</v>
      </c>
      <c r="S151">
        <f t="shared" si="24"/>
        <v>59268456.063804187</v>
      </c>
    </row>
    <row r="152" spans="1:19" x14ac:dyDescent="0.2">
      <c r="A152" t="s">
        <v>65</v>
      </c>
      <c r="B152" t="s">
        <v>63</v>
      </c>
      <c r="C152">
        <v>0.75412087905391401</v>
      </c>
      <c r="D152">
        <v>0.22742474899832699</v>
      </c>
      <c r="E152">
        <v>0.31335886422079101</v>
      </c>
      <c r="F152">
        <v>0.157682518094554</v>
      </c>
      <c r="G152">
        <v>3.2164459258376001E-2</v>
      </c>
      <c r="H152">
        <v>0.36787939206394599</v>
      </c>
      <c r="I152">
        <v>0.132975648651732</v>
      </c>
      <c r="J152">
        <v>0.16178401518066299</v>
      </c>
      <c r="K152">
        <v>156.02431251769801</v>
      </c>
      <c r="L152">
        <f t="shared" si="17"/>
        <v>0.27740881341553186</v>
      </c>
      <c r="M152">
        <f t="shared" si="18"/>
        <v>0.19427115371975415</v>
      </c>
      <c r="N152">
        <f t="shared" si="19"/>
        <v>0.35573871842388777</v>
      </c>
      <c r="O152">
        <f t="shared" si="20"/>
        <v>0.52122107208399115</v>
      </c>
      <c r="P152">
        <f t="shared" si="21"/>
        <v>0.14918248627222164</v>
      </c>
      <c r="Q152">
        <f t="shared" si="22"/>
        <v>0.38582139725137982</v>
      </c>
      <c r="R152">
        <f t="shared" si="23"/>
        <v>0.3508629603031983</v>
      </c>
      <c r="S152">
        <f t="shared" si="24"/>
        <v>24108.832411501262</v>
      </c>
    </row>
    <row r="153" spans="1:19" x14ac:dyDescent="0.2">
      <c r="A153" t="s">
        <v>66</v>
      </c>
      <c r="B153" t="s">
        <v>12</v>
      </c>
      <c r="C153">
        <v>0.59543091492272904</v>
      </c>
      <c r="D153">
        <v>0.382364948156105</v>
      </c>
      <c r="E153">
        <v>0.63040851656499297</v>
      </c>
      <c r="F153">
        <v>0.60089449367540304</v>
      </c>
      <c r="G153">
        <v>0.38544702811464698</v>
      </c>
      <c r="H153">
        <v>0.46964724181230899</v>
      </c>
      <c r="I153">
        <v>0.48330549107409099</v>
      </c>
      <c r="J153">
        <v>0.53204748126217205</v>
      </c>
      <c r="K153">
        <v>0.77593831453502804</v>
      </c>
      <c r="L153">
        <f t="shared" si="17"/>
        <v>4.5397106194196138E-2</v>
      </c>
      <c r="M153">
        <f t="shared" si="18"/>
        <v>1.2234326166449046E-3</v>
      </c>
      <c r="N153">
        <f t="shared" si="19"/>
        <v>2.9850692786670815E-5</v>
      </c>
      <c r="O153">
        <f t="shared" si="20"/>
        <v>4.4093232719029415E-2</v>
      </c>
      <c r="P153">
        <f t="shared" si="21"/>
        <v>1.5821532421149007E-2</v>
      </c>
      <c r="Q153">
        <f t="shared" si="22"/>
        <v>1.2572110673236731E-2</v>
      </c>
      <c r="R153">
        <f t="shared" si="23"/>
        <v>4.0174596626022284E-3</v>
      </c>
      <c r="S153">
        <f t="shared" si="24"/>
        <v>3.2582921314794205E-2</v>
      </c>
    </row>
    <row r="154" spans="1:19" x14ac:dyDescent="0.2">
      <c r="A154" t="s">
        <v>66</v>
      </c>
      <c r="B154" t="s">
        <v>14</v>
      </c>
      <c r="C154">
        <v>0.43388429751740998</v>
      </c>
      <c r="D154">
        <v>0.25390266298404102</v>
      </c>
      <c r="E154">
        <v>0.61378311677509301</v>
      </c>
      <c r="F154">
        <v>0.47825462217732101</v>
      </c>
      <c r="G154">
        <v>0.38459431982215297</v>
      </c>
      <c r="H154">
        <v>0.30565230320093201</v>
      </c>
      <c r="I154">
        <v>0.34340882523557298</v>
      </c>
      <c r="J154">
        <v>0.28679216872263102</v>
      </c>
      <c r="K154">
        <v>0.45739316576754002</v>
      </c>
      <c r="L154">
        <f t="shared" si="17"/>
        <v>3.2393388769303193E-2</v>
      </c>
      <c r="M154">
        <f t="shared" si="18"/>
        <v>3.2363585170308504E-2</v>
      </c>
      <c r="N154">
        <f t="shared" si="19"/>
        <v>1.9687257104259088E-3</v>
      </c>
      <c r="O154">
        <f t="shared" si="20"/>
        <v>2.4295019011989329E-3</v>
      </c>
      <c r="P154">
        <f t="shared" si="21"/>
        <v>1.6443444366381239E-2</v>
      </c>
      <c r="Q154">
        <f t="shared" si="22"/>
        <v>8.1858110846214551E-3</v>
      </c>
      <c r="R154">
        <f t="shared" si="23"/>
        <v>2.1636094353379841E-2</v>
      </c>
      <c r="S154">
        <f t="shared" si="24"/>
        <v>5.5266688640197238E-4</v>
      </c>
    </row>
    <row r="155" spans="1:19" x14ac:dyDescent="0.2">
      <c r="A155" t="s">
        <v>66</v>
      </c>
      <c r="B155" t="s">
        <v>15</v>
      </c>
      <c r="C155">
        <v>0.71441602123637504</v>
      </c>
      <c r="D155">
        <v>0.48016246407146901</v>
      </c>
      <c r="E155">
        <v>0.70281591577596803</v>
      </c>
      <c r="F155">
        <v>0.66442999697721505</v>
      </c>
      <c r="G155">
        <v>0.47386093591948503</v>
      </c>
      <c r="H155">
        <v>0.51361648612243405</v>
      </c>
      <c r="I155">
        <v>0.52878437666731104</v>
      </c>
      <c r="J155">
        <v>0.54836481118881697</v>
      </c>
      <c r="K155">
        <v>1.5694365210797401</v>
      </c>
      <c r="L155">
        <f t="shared" si="17"/>
        <v>5.4874729044411902E-2</v>
      </c>
      <c r="M155">
        <f t="shared" si="18"/>
        <v>1.3456244669256471E-4</v>
      </c>
      <c r="N155">
        <f t="shared" si="19"/>
        <v>2.498602621237331E-3</v>
      </c>
      <c r="O155">
        <f t="shared" si="20"/>
        <v>5.7866749071816236E-2</v>
      </c>
      <c r="P155">
        <f t="shared" si="21"/>
        <v>4.0320453301974826E-2</v>
      </c>
      <c r="Q155">
        <f t="shared" si="22"/>
        <v>3.4459107465415306E-2</v>
      </c>
      <c r="R155">
        <f t="shared" si="23"/>
        <v>2.7573004358258251E-2</v>
      </c>
      <c r="S155">
        <f t="shared" si="24"/>
        <v>0.7310600551523978</v>
      </c>
    </row>
    <row r="156" spans="1:19" x14ac:dyDescent="0.2">
      <c r="A156" t="s">
        <v>66</v>
      </c>
      <c r="B156" t="s">
        <v>16</v>
      </c>
      <c r="C156">
        <v>0.59213961798489301</v>
      </c>
      <c r="D156">
        <v>0.47657983080091898</v>
      </c>
      <c r="E156">
        <v>0.831197218037665</v>
      </c>
      <c r="F156">
        <v>0.63910613830386298</v>
      </c>
      <c r="G156">
        <v>0.43916229224279801</v>
      </c>
      <c r="H156">
        <v>0.51850289500785796</v>
      </c>
      <c r="I156">
        <v>0.529953794637121</v>
      </c>
      <c r="J156">
        <v>0.57573638978695096</v>
      </c>
      <c r="K156">
        <v>0.835316222058758</v>
      </c>
      <c r="L156">
        <f t="shared" si="17"/>
        <v>1.3354064414005369E-2</v>
      </c>
      <c r="M156">
        <f t="shared" si="18"/>
        <v>5.7148536142991091E-2</v>
      </c>
      <c r="N156">
        <f t="shared" si="19"/>
        <v>2.2058540308722194E-3</v>
      </c>
      <c r="O156">
        <f t="shared" si="20"/>
        <v>2.3402062191203041E-2</v>
      </c>
      <c r="P156">
        <f t="shared" si="21"/>
        <v>5.4223669707966016E-3</v>
      </c>
      <c r="Q156">
        <f t="shared" si="22"/>
        <v>3.867076625440306E-3</v>
      </c>
      <c r="R156">
        <f t="shared" si="23"/>
        <v>2.6906589531376098E-4</v>
      </c>
      <c r="S156">
        <f t="shared" si="24"/>
        <v>5.913486076889729E-2</v>
      </c>
    </row>
    <row r="157" spans="1:19" x14ac:dyDescent="0.2">
      <c r="A157" t="s">
        <v>66</v>
      </c>
      <c r="B157" t="s">
        <v>17</v>
      </c>
      <c r="C157">
        <v>0.73992027241707303</v>
      </c>
      <c r="D157">
        <v>0.68857169901464299</v>
      </c>
      <c r="E157">
        <v>0.89659734458087004</v>
      </c>
      <c r="F157">
        <v>0.86658754658660597</v>
      </c>
      <c r="G157">
        <v>0.72175373017922995</v>
      </c>
      <c r="H157">
        <v>0.71929306690313699</v>
      </c>
      <c r="I157">
        <v>0.49999950550984401</v>
      </c>
      <c r="J157">
        <v>0.70750560601460899</v>
      </c>
      <c r="K157">
        <v>0.72179675998966697</v>
      </c>
      <c r="L157">
        <f t="shared" si="17"/>
        <v>2.636675990464746E-3</v>
      </c>
      <c r="M157">
        <f t="shared" si="18"/>
        <v>2.4547704941819654E-2</v>
      </c>
      <c r="N157">
        <f t="shared" si="19"/>
        <v>1.6044598345539628E-2</v>
      </c>
      <c r="O157">
        <f t="shared" si="20"/>
        <v>3.300232568793369E-4</v>
      </c>
      <c r="P157">
        <f t="shared" si="21"/>
        <v>4.2548160731415346E-4</v>
      </c>
      <c r="Q157">
        <f t="shared" si="22"/>
        <v>5.7561974393352922E-2</v>
      </c>
      <c r="R157">
        <f t="shared" si="23"/>
        <v>1.0507105979830312E-3</v>
      </c>
      <c r="S157">
        <f t="shared" si="24"/>
        <v>3.2846170270634201E-4</v>
      </c>
    </row>
    <row r="158" spans="1:19" x14ac:dyDescent="0.2">
      <c r="A158" t="s">
        <v>66</v>
      </c>
      <c r="B158" t="s">
        <v>18</v>
      </c>
      <c r="C158">
        <v>0.60626399686210197</v>
      </c>
      <c r="D158">
        <v>0.48588869723925698</v>
      </c>
      <c r="E158">
        <v>0.770879920880157</v>
      </c>
      <c r="F158">
        <v>0.68807615809831901</v>
      </c>
      <c r="G158">
        <v>0.49250885827364199</v>
      </c>
      <c r="H158">
        <v>0.57447449142394902</v>
      </c>
      <c r="I158">
        <v>0.58515262572918803</v>
      </c>
      <c r="J158">
        <v>0.61538139519917501</v>
      </c>
      <c r="K158">
        <v>0.59254184359836004</v>
      </c>
      <c r="L158">
        <f t="shared" si="17"/>
        <v>1.4490212759289705E-2</v>
      </c>
      <c r="M158">
        <f t="shared" si="18"/>
        <v>2.7098402440318067E-2</v>
      </c>
      <c r="N158">
        <f t="shared" si="19"/>
        <v>6.6932297261407744E-3</v>
      </c>
      <c r="O158">
        <f t="shared" si="20"/>
        <v>1.2940231555279737E-2</v>
      </c>
      <c r="P158">
        <f t="shared" si="21"/>
        <v>1.0105726560023563E-3</v>
      </c>
      <c r="Q158">
        <f t="shared" si="22"/>
        <v>4.4568999111163231E-4</v>
      </c>
      <c r="R158">
        <f t="shared" si="23"/>
        <v>8.3126952436862143E-5</v>
      </c>
      <c r="S158">
        <f t="shared" si="24"/>
        <v>1.8829749019362335E-4</v>
      </c>
    </row>
    <row r="159" spans="1:19" x14ac:dyDescent="0.2">
      <c r="A159" t="s">
        <v>66</v>
      </c>
      <c r="B159" t="s">
        <v>19</v>
      </c>
      <c r="C159">
        <v>0.56672742499761997</v>
      </c>
      <c r="D159">
        <v>0.41605145925742198</v>
      </c>
      <c r="E159">
        <v>0.57533373079439398</v>
      </c>
      <c r="F159">
        <v>0.58763250165664205</v>
      </c>
      <c r="G159">
        <v>0.42221358907307099</v>
      </c>
      <c r="H159">
        <v>0.43466904015681201</v>
      </c>
      <c r="I159">
        <v>0.45756780978157902</v>
      </c>
      <c r="J159">
        <v>0.444877992808766</v>
      </c>
      <c r="K159" t="s">
        <v>13</v>
      </c>
      <c r="L159">
        <f t="shared" si="17"/>
        <v>2.2703246651741317E-2</v>
      </c>
      <c r="M159">
        <f t="shared" si="18"/>
        <v>7.4068499467586034E-5</v>
      </c>
      <c r="N159">
        <f t="shared" si="19"/>
        <v>4.3702223011958985E-4</v>
      </c>
      <c r="O159">
        <f t="shared" si="20"/>
        <v>2.0884248773627462E-2</v>
      </c>
      <c r="P159">
        <f t="shared" si="21"/>
        <v>1.7439417006762936E-2</v>
      </c>
      <c r="Q159">
        <f t="shared" si="22"/>
        <v>1.1915821594114119E-2</v>
      </c>
      <c r="R159">
        <f t="shared" si="23"/>
        <v>1.4847284124746122E-2</v>
      </c>
      <c r="S159" t="e">
        <f t="shared" si="24"/>
        <v>#VALUE!</v>
      </c>
    </row>
    <row r="160" spans="1:19" x14ac:dyDescent="0.2">
      <c r="A160" t="s">
        <v>66</v>
      </c>
      <c r="B160" t="s">
        <v>20</v>
      </c>
      <c r="C160">
        <v>0.5</v>
      </c>
      <c r="D160">
        <v>0.411002404077491</v>
      </c>
      <c r="E160">
        <v>0.40816574055391902</v>
      </c>
      <c r="F160">
        <v>0.40130861095368497</v>
      </c>
      <c r="G160">
        <v>0.30544545121490302</v>
      </c>
      <c r="H160">
        <v>0.253015613856653</v>
      </c>
      <c r="I160">
        <v>0.28984494422936802</v>
      </c>
      <c r="J160">
        <v>0.24071980467837101</v>
      </c>
      <c r="K160" t="s">
        <v>13</v>
      </c>
      <c r="L160">
        <f t="shared" si="17"/>
        <v>7.9205720799861903E-3</v>
      </c>
      <c r="M160">
        <f t="shared" si="18"/>
        <v>8.4335312080101137E-3</v>
      </c>
      <c r="N160">
        <f t="shared" si="19"/>
        <v>9.739990271891109E-3</v>
      </c>
      <c r="O160">
        <f t="shared" si="20"/>
        <v>3.7851472452972684E-2</v>
      </c>
      <c r="P160">
        <f t="shared" si="21"/>
        <v>6.1001286998605936E-2</v>
      </c>
      <c r="Q160">
        <f t="shared" si="22"/>
        <v>4.4165147465957441E-2</v>
      </c>
      <c r="R160">
        <f t="shared" si="23"/>
        <v>6.7226219686022076E-2</v>
      </c>
      <c r="S160" t="e">
        <f t="shared" si="24"/>
        <v>#VALUE!</v>
      </c>
    </row>
    <row r="161" spans="1:19" x14ac:dyDescent="0.2">
      <c r="A161" t="s">
        <v>66</v>
      </c>
      <c r="B161" t="s">
        <v>21</v>
      </c>
      <c r="C161">
        <v>0.87662337659090905</v>
      </c>
      <c r="D161">
        <v>0.85396592653103598</v>
      </c>
      <c r="E161">
        <v>0.93049422871815701</v>
      </c>
      <c r="F161">
        <v>0.94697473147391398</v>
      </c>
      <c r="G161">
        <v>0.86797798082844502</v>
      </c>
      <c r="H161">
        <v>0.83871128655725602</v>
      </c>
      <c r="I161">
        <v>0.499999891071231</v>
      </c>
      <c r="J161">
        <v>0.80834064101576397</v>
      </c>
      <c r="K161">
        <v>0.86816906184227405</v>
      </c>
      <c r="L161">
        <f t="shared" si="17"/>
        <v>5.1336004321564236E-4</v>
      </c>
      <c r="M161">
        <f t="shared" si="18"/>
        <v>2.9020687089158161E-3</v>
      </c>
      <c r="N161">
        <f t="shared" si="19"/>
        <v>4.9493131338745004E-3</v>
      </c>
      <c r="O161">
        <f t="shared" si="20"/>
        <v>7.4742867889631117E-5</v>
      </c>
      <c r="P161">
        <f t="shared" si="21"/>
        <v>1.4373265707198137E-3</v>
      </c>
      <c r="Q161">
        <f t="shared" si="22"/>
        <v>0.14184524984499114</v>
      </c>
      <c r="R161">
        <f t="shared" si="23"/>
        <v>4.6625319776251841E-3</v>
      </c>
      <c r="S161">
        <f t="shared" si="24"/>
        <v>7.1475437868987382E-5</v>
      </c>
    </row>
    <row r="162" spans="1:19" x14ac:dyDescent="0.2">
      <c r="A162" t="s">
        <v>66</v>
      </c>
      <c r="B162" t="s">
        <v>22</v>
      </c>
      <c r="C162">
        <v>0.70035395193948802</v>
      </c>
      <c r="D162">
        <v>0.50585431587473595</v>
      </c>
      <c r="E162">
        <v>0.723265684818583</v>
      </c>
      <c r="F162">
        <v>0.721820522195187</v>
      </c>
      <c r="G162">
        <v>0.53966824432135496</v>
      </c>
      <c r="H162">
        <v>0.550128730284562</v>
      </c>
      <c r="I162">
        <v>0.56531200989560904</v>
      </c>
      <c r="J162">
        <v>0.56969947977743995</v>
      </c>
      <c r="K162">
        <v>0.71259608574910505</v>
      </c>
      <c r="L162">
        <f t="shared" si="17"/>
        <v>3.7830108429321004E-2</v>
      </c>
      <c r="M162">
        <f t="shared" si="18"/>
        <v>5.2494750352300205E-4</v>
      </c>
      <c r="N162">
        <f t="shared" si="19"/>
        <v>4.6081363854286016E-4</v>
      </c>
      <c r="O162">
        <f t="shared" si="20"/>
        <v>2.5819896632740143E-2</v>
      </c>
      <c r="P162">
        <f t="shared" si="21"/>
        <v>2.2567617221271655E-2</v>
      </c>
      <c r="Q162">
        <f t="shared" si="22"/>
        <v>1.823632611098237E-2</v>
      </c>
      <c r="R162">
        <f t="shared" si="23"/>
        <v>1.7070591095943392E-2</v>
      </c>
      <c r="S162">
        <f t="shared" si="24"/>
        <v>1.4986984021256834E-4</v>
      </c>
    </row>
    <row r="163" spans="1:19" x14ac:dyDescent="0.2">
      <c r="A163" t="s">
        <v>66</v>
      </c>
      <c r="B163" t="s">
        <v>23</v>
      </c>
      <c r="C163">
        <v>0.58094463110470096</v>
      </c>
      <c r="D163">
        <v>0.47611487807457997</v>
      </c>
      <c r="E163">
        <v>0.73601167951221103</v>
      </c>
      <c r="F163">
        <v>0.66676881192653803</v>
      </c>
      <c r="G163">
        <v>0.46383502371356</v>
      </c>
      <c r="H163">
        <v>0.54608342431436196</v>
      </c>
      <c r="I163">
        <v>0.55623363455279096</v>
      </c>
      <c r="J163">
        <v>0.607059750812601</v>
      </c>
      <c r="K163">
        <v>0.72696682134913304</v>
      </c>
      <c r="L163">
        <f t="shared" si="17"/>
        <v>1.0989277120356159E-2</v>
      </c>
      <c r="M163">
        <f t="shared" si="18"/>
        <v>2.4045789501817069E-2</v>
      </c>
      <c r="N163">
        <f t="shared" si="19"/>
        <v>7.365790013739386E-3</v>
      </c>
      <c r="O163">
        <f t="shared" si="20"/>
        <v>1.3714660143307177E-2</v>
      </c>
      <c r="P163">
        <f t="shared" si="21"/>
        <v>1.2153037388787776E-3</v>
      </c>
      <c r="Q163">
        <f t="shared" si="22"/>
        <v>6.1063335058850806E-4</v>
      </c>
      <c r="R163">
        <f t="shared" si="23"/>
        <v>6.8199947735794893E-4</v>
      </c>
      <c r="S163">
        <f t="shared" si="24"/>
        <v>2.1322480043781115E-2</v>
      </c>
    </row>
    <row r="164" spans="1:19" x14ac:dyDescent="0.2">
      <c r="A164" t="s">
        <v>66</v>
      </c>
      <c r="B164" t="s">
        <v>24</v>
      </c>
      <c r="C164">
        <v>0.82356841468354403</v>
      </c>
      <c r="D164">
        <v>0.78685719009845201</v>
      </c>
      <c r="E164">
        <v>0.92923540297514295</v>
      </c>
      <c r="F164">
        <v>0.90964505465968304</v>
      </c>
      <c r="G164">
        <v>0.79636461178450002</v>
      </c>
      <c r="H164">
        <v>0.80748492990624099</v>
      </c>
      <c r="I164">
        <v>0.49999958326987498</v>
      </c>
      <c r="J164">
        <v>0.810369906561345</v>
      </c>
      <c r="K164">
        <v>0.80810627224044695</v>
      </c>
      <c r="L164">
        <f t="shared" si="17"/>
        <v>1.3477140105370646E-3</v>
      </c>
      <c r="M164">
        <f t="shared" si="18"/>
        <v>1.1165512414616906E-2</v>
      </c>
      <c r="N164">
        <f t="shared" si="19"/>
        <v>7.4091879495818526E-3</v>
      </c>
      <c r="O164">
        <f t="shared" si="20"/>
        <v>7.4004689217003496E-4</v>
      </c>
      <c r="P164">
        <f t="shared" si="21"/>
        <v>2.5867848258173849E-4</v>
      </c>
      <c r="Q164">
        <f t="shared" si="22"/>
        <v>0.10469678866240738</v>
      </c>
      <c r="R164">
        <f t="shared" si="23"/>
        <v>1.7420061665175367E-4</v>
      </c>
      <c r="S164">
        <f t="shared" si="24"/>
        <v>2.3907784893062385E-4</v>
      </c>
    </row>
    <row r="165" spans="1:19" x14ac:dyDescent="0.2">
      <c r="A165" t="s">
        <v>66</v>
      </c>
      <c r="B165" t="s">
        <v>25</v>
      </c>
      <c r="C165">
        <v>0.55227299424046605</v>
      </c>
      <c r="D165">
        <v>0.26976320757359401</v>
      </c>
      <c r="E165">
        <v>0.42530330344963901</v>
      </c>
      <c r="F165">
        <v>0.45697839286332997</v>
      </c>
      <c r="G165">
        <v>0.30339876276844102</v>
      </c>
      <c r="H165">
        <v>0.29539896020082901</v>
      </c>
      <c r="I165">
        <v>0.32734667413281598</v>
      </c>
      <c r="J165">
        <v>0.30831059327293298</v>
      </c>
      <c r="K165" s="1">
        <v>9.1160781390919602E+136</v>
      </c>
      <c r="L165">
        <f t="shared" si="17"/>
        <v>7.9811779562561552E-2</v>
      </c>
      <c r="M165">
        <f t="shared" si="18"/>
        <v>1.612130237951823E-2</v>
      </c>
      <c r="N165">
        <f t="shared" si="19"/>
        <v>9.0810610516272646E-3</v>
      </c>
      <c r="O165">
        <f t="shared" si="20"/>
        <v>6.1938383090791096E-2</v>
      </c>
      <c r="P165">
        <f t="shared" si="21"/>
        <v>6.5984269363796616E-2</v>
      </c>
      <c r="Q165">
        <f t="shared" si="22"/>
        <v>5.0591849477169069E-2</v>
      </c>
      <c r="R165">
        <f t="shared" si="23"/>
        <v>5.9517653085843385E-2</v>
      </c>
      <c r="S165">
        <f t="shared" si="24"/>
        <v>8.3102880638030337E+273</v>
      </c>
    </row>
    <row r="166" spans="1:19" x14ac:dyDescent="0.2">
      <c r="A166" t="s">
        <v>66</v>
      </c>
      <c r="B166" t="s">
        <v>26</v>
      </c>
      <c r="C166">
        <v>0.59670213715940601</v>
      </c>
      <c r="D166">
        <v>0.52233911789536203</v>
      </c>
      <c r="E166">
        <v>0.72156645520996199</v>
      </c>
      <c r="F166">
        <v>0.77772783156968495</v>
      </c>
      <c r="G166">
        <v>0.60814343081268696</v>
      </c>
      <c r="H166">
        <v>0.56569259326121202</v>
      </c>
      <c r="I166">
        <v>0.58637214310966501</v>
      </c>
      <c r="J166">
        <v>0.51038339037021896</v>
      </c>
      <c r="K166">
        <v>0.60908494745203201</v>
      </c>
      <c r="L166">
        <f t="shared" si="17"/>
        <v>5.5298586340645764E-3</v>
      </c>
      <c r="M166">
        <f t="shared" si="18"/>
        <v>1.55910979222304E-2</v>
      </c>
      <c r="N166">
        <f t="shared" si="19"/>
        <v>3.2770302036723695E-2</v>
      </c>
      <c r="O166">
        <f t="shared" si="20"/>
        <v>1.3090320046060691E-4</v>
      </c>
      <c r="P166">
        <f t="shared" si="21"/>
        <v>9.6159181277402021E-4</v>
      </c>
      <c r="Q166">
        <f t="shared" si="22"/>
        <v>1.0670877706768443E-4</v>
      </c>
      <c r="R166">
        <f t="shared" si="23"/>
        <v>7.4509260472557896E-3</v>
      </c>
      <c r="S166">
        <f t="shared" si="24"/>
        <v>1.5333399074316442E-4</v>
      </c>
    </row>
    <row r="167" spans="1:19" x14ac:dyDescent="0.2">
      <c r="A167" t="s">
        <v>66</v>
      </c>
      <c r="B167" t="s">
        <v>27</v>
      </c>
      <c r="C167">
        <v>0.49911997485583698</v>
      </c>
      <c r="D167">
        <v>0.380167322018648</v>
      </c>
      <c r="E167">
        <v>0.68220669986065896</v>
      </c>
      <c r="F167">
        <v>0.64462536706106099</v>
      </c>
      <c r="G167">
        <v>0.48612024150263</v>
      </c>
      <c r="H167">
        <v>0.37790442380411599</v>
      </c>
      <c r="I167">
        <v>0.41592288864975102</v>
      </c>
      <c r="J167">
        <v>0.313213543077967</v>
      </c>
      <c r="K167">
        <v>0.48614930464274803</v>
      </c>
      <c r="L167">
        <f t="shared" si="17"/>
        <v>1.4149733617004803E-2</v>
      </c>
      <c r="M167">
        <f t="shared" si="18"/>
        <v>3.3520748872991307E-2</v>
      </c>
      <c r="N167">
        <f t="shared" si="19"/>
        <v>2.1171819160796065E-2</v>
      </c>
      <c r="O167">
        <f t="shared" si="20"/>
        <v>1.6899306725448192E-4</v>
      </c>
      <c r="P167">
        <f t="shared" si="21"/>
        <v>1.4693209816772378E-2</v>
      </c>
      <c r="Q167">
        <f t="shared" si="22"/>
        <v>6.9217551531828986E-3</v>
      </c>
      <c r="R167">
        <f t="shared" si="23"/>
        <v>3.4561201376379823E-2</v>
      </c>
      <c r="S167">
        <f t="shared" si="24"/>
        <v>1.6823828577671303E-4</v>
      </c>
    </row>
    <row r="168" spans="1:19" x14ac:dyDescent="0.2">
      <c r="A168" t="s">
        <v>66</v>
      </c>
      <c r="B168" t="s">
        <v>28</v>
      </c>
      <c r="C168">
        <v>0.59613288573383205</v>
      </c>
      <c r="D168">
        <v>0.37917251603146601</v>
      </c>
      <c r="E168">
        <v>0.553672955186163</v>
      </c>
      <c r="F168">
        <v>0.56036021304457695</v>
      </c>
      <c r="G168">
        <v>0.388564045881784</v>
      </c>
      <c r="H168">
        <v>0.42076598671397902</v>
      </c>
      <c r="I168">
        <v>0.44267649761954297</v>
      </c>
      <c r="J168">
        <v>0.44610526052466298</v>
      </c>
      <c r="K168">
        <v>193.620999503604</v>
      </c>
      <c r="L168">
        <f t="shared" si="17"/>
        <v>4.7071802021387353E-2</v>
      </c>
      <c r="M168">
        <f t="shared" si="18"/>
        <v>1.8028457021128797E-3</v>
      </c>
      <c r="N168">
        <f t="shared" si="19"/>
        <v>1.2796841113325778E-3</v>
      </c>
      <c r="O168">
        <f t="shared" si="20"/>
        <v>4.3084823277525171E-2</v>
      </c>
      <c r="P168">
        <f t="shared" si="21"/>
        <v>3.075354927183933E-2</v>
      </c>
      <c r="Q168">
        <f t="shared" si="22"/>
        <v>2.3548863053083322E-2</v>
      </c>
      <c r="R168">
        <f t="shared" si="23"/>
        <v>2.2508288325902903E-2</v>
      </c>
      <c r="S168">
        <f t="shared" si="24"/>
        <v>37258.599132846568</v>
      </c>
    </row>
    <row r="169" spans="1:19" x14ac:dyDescent="0.2">
      <c r="A169" t="s">
        <v>66</v>
      </c>
      <c r="B169" t="s">
        <v>29</v>
      </c>
      <c r="C169">
        <v>0.58098355152359904</v>
      </c>
      <c r="D169">
        <v>0.32088108824633199</v>
      </c>
      <c r="E169">
        <v>0.522805561708932</v>
      </c>
      <c r="F169">
        <v>0.52018669738305001</v>
      </c>
      <c r="G169">
        <v>0.36338825265993502</v>
      </c>
      <c r="H169">
        <v>0.365579214369191</v>
      </c>
      <c r="I169">
        <v>0.39338508943764</v>
      </c>
      <c r="J169">
        <v>0.38115776147998398</v>
      </c>
      <c r="K169">
        <v>5664.5339815604702</v>
      </c>
      <c r="L169">
        <f t="shared" si="17"/>
        <v>6.7653291402902049E-2</v>
      </c>
      <c r="M169">
        <f t="shared" si="18"/>
        <v>3.384678498875502E-3</v>
      </c>
      <c r="N169">
        <f t="shared" si="19"/>
        <v>3.6962574733871937E-3</v>
      </c>
      <c r="O169">
        <f t="shared" si="20"/>
        <v>4.7347714087567265E-2</v>
      </c>
      <c r="P169">
        <f t="shared" si="21"/>
        <v>4.6399028464929895E-2</v>
      </c>
      <c r="Q169">
        <f t="shared" si="22"/>
        <v>3.5193182977017012E-2</v>
      </c>
      <c r="R169">
        <f t="shared" si="23"/>
        <v>3.9930346366554931E-2</v>
      </c>
      <c r="S169">
        <f t="shared" si="24"/>
        <v>32080363.563654531</v>
      </c>
    </row>
    <row r="170" spans="1:19" x14ac:dyDescent="0.2">
      <c r="A170" t="s">
        <v>66</v>
      </c>
      <c r="B170" t="s">
        <v>30</v>
      </c>
      <c r="C170">
        <v>0.64827217527907699</v>
      </c>
      <c r="D170">
        <v>0.486394550934101</v>
      </c>
      <c r="E170">
        <v>0.64092197269923301</v>
      </c>
      <c r="F170">
        <v>0.64786157343895301</v>
      </c>
      <c r="G170">
        <v>0.466015416962833</v>
      </c>
      <c r="H170">
        <v>0.50004715758400298</v>
      </c>
      <c r="I170">
        <v>0.51762701318030901</v>
      </c>
      <c r="J170">
        <v>0.51894571744701801</v>
      </c>
      <c r="K170" s="1">
        <v>4.8170924212932903E+19</v>
      </c>
      <c r="L170">
        <f t="shared" si="17"/>
        <v>2.6204365263573164E-2</v>
      </c>
      <c r="M170">
        <f t="shared" si="18"/>
        <v>5.4025477964745079E-5</v>
      </c>
      <c r="N170">
        <f t="shared" si="19"/>
        <v>1.6859387111319911E-7</v>
      </c>
      <c r="O170">
        <f t="shared" si="20"/>
        <v>3.3217525951945777E-2</v>
      </c>
      <c r="P170">
        <f t="shared" si="21"/>
        <v>2.1970655870705003E-2</v>
      </c>
      <c r="Q170">
        <f t="shared" si="22"/>
        <v>1.7068158379813361E-2</v>
      </c>
      <c r="R170">
        <f t="shared" si="23"/>
        <v>1.672533269538733E-2</v>
      </c>
      <c r="S170">
        <f t="shared" si="24"/>
        <v>2.3204379395281255E+39</v>
      </c>
    </row>
    <row r="171" spans="1:19" x14ac:dyDescent="0.2">
      <c r="A171" t="s">
        <v>66</v>
      </c>
      <c r="B171" t="s">
        <v>31</v>
      </c>
      <c r="C171">
        <v>0.65723043584205398</v>
      </c>
      <c r="D171">
        <v>0.52006317362673304</v>
      </c>
      <c r="E171">
        <v>0.73231513648904001</v>
      </c>
      <c r="F171">
        <v>0.68942066413271696</v>
      </c>
      <c r="G171">
        <v>0.50139273953276497</v>
      </c>
      <c r="H171">
        <v>0.55999401398761395</v>
      </c>
      <c r="I171">
        <v>0.57229056943856704</v>
      </c>
      <c r="J171">
        <v>0.59782315092709304</v>
      </c>
      <c r="K171">
        <v>0.58613791097801804</v>
      </c>
      <c r="L171">
        <f t="shared" si="17"/>
        <v>1.881485782364661E-2</v>
      </c>
      <c r="M171">
        <f t="shared" si="18"/>
        <v>5.6377122712475032E-3</v>
      </c>
      <c r="N171">
        <f t="shared" si="19"/>
        <v>1.0362107974049993E-3</v>
      </c>
      <c r="O171">
        <f t="shared" si="20"/>
        <v>2.4285387590986189E-2</v>
      </c>
      <c r="P171">
        <f t="shared" si="21"/>
        <v>9.4549217350546246E-3</v>
      </c>
      <c r="Q171">
        <f t="shared" si="22"/>
        <v>7.2147809046422097E-3</v>
      </c>
      <c r="R171">
        <f t="shared" si="23"/>
        <v>3.5292255009673461E-3</v>
      </c>
      <c r="S171">
        <f t="shared" si="24"/>
        <v>5.0541470915435689E-3</v>
      </c>
    </row>
    <row r="172" spans="1:19" x14ac:dyDescent="0.2">
      <c r="A172" t="s">
        <v>66</v>
      </c>
      <c r="B172" t="s">
        <v>32</v>
      </c>
      <c r="C172">
        <v>0.45788121074077998</v>
      </c>
      <c r="D172">
        <v>0.26276181052206099</v>
      </c>
      <c r="E172">
        <v>0.475095669400665</v>
      </c>
      <c r="F172">
        <v>0.492047867472103</v>
      </c>
      <c r="G172">
        <v>0.35394976485361501</v>
      </c>
      <c r="H172">
        <v>0.35884043212467498</v>
      </c>
      <c r="I172">
        <v>0.38923012992749101</v>
      </c>
      <c r="J172">
        <v>0.350987765081342</v>
      </c>
      <c r="K172">
        <v>0.35397762923667597</v>
      </c>
      <c r="L172">
        <f t="shared" si="17"/>
        <v>3.8071580341712638E-2</v>
      </c>
      <c r="M172">
        <f t="shared" si="18"/>
        <v>2.9633758695289046E-4</v>
      </c>
      <c r="N172">
        <f t="shared" si="19"/>
        <v>1.1673604321960605E-3</v>
      </c>
      <c r="O172">
        <f t="shared" si="20"/>
        <v>1.0801745444196698E-2</v>
      </c>
      <c r="P172">
        <f t="shared" si="21"/>
        <v>9.809075828884321E-3</v>
      </c>
      <c r="Q172">
        <f t="shared" si="22"/>
        <v>4.7129708968327326E-3</v>
      </c>
      <c r="R172">
        <f t="shared" si="23"/>
        <v>1.1426208724947221E-2</v>
      </c>
      <c r="S172">
        <f t="shared" si="24"/>
        <v>1.0795954249379984E-2</v>
      </c>
    </row>
    <row r="173" spans="1:19" x14ac:dyDescent="0.2">
      <c r="A173" t="s">
        <v>66</v>
      </c>
      <c r="B173" t="s">
        <v>33</v>
      </c>
      <c r="C173">
        <v>0.66613229558362597</v>
      </c>
      <c r="D173">
        <v>0.62497436635813497</v>
      </c>
      <c r="E173">
        <v>0.79755495091746498</v>
      </c>
      <c r="F173">
        <v>0.81768131763562801</v>
      </c>
      <c r="G173">
        <v>0.65388266597557998</v>
      </c>
      <c r="H173">
        <v>0.64941349268618898</v>
      </c>
      <c r="I173">
        <v>0.66098328817643803</v>
      </c>
      <c r="J173">
        <v>0.63647830575485098</v>
      </c>
      <c r="K173">
        <v>0.65408433183744796</v>
      </c>
      <c r="L173">
        <f t="shared" si="17"/>
        <v>1.693975138130526E-3</v>
      </c>
      <c r="M173">
        <f t="shared" si="18"/>
        <v>1.7271914334997043E-2</v>
      </c>
      <c r="N173">
        <f t="shared" si="19"/>
        <v>2.2967106084918202E-2</v>
      </c>
      <c r="O173">
        <f t="shared" si="20"/>
        <v>1.5005342553431686E-4</v>
      </c>
      <c r="P173">
        <f t="shared" si="21"/>
        <v>2.7951837032334754E-4</v>
      </c>
      <c r="Q173">
        <f t="shared" si="22"/>
        <v>2.6512277279276203E-5</v>
      </c>
      <c r="R173">
        <f t="shared" si="23"/>
        <v>8.7935911276509026E-4</v>
      </c>
      <c r="S173">
        <f t="shared" si="24"/>
        <v>1.451534304292195E-4</v>
      </c>
    </row>
    <row r="174" spans="1:19" x14ac:dyDescent="0.2">
      <c r="A174" t="s">
        <v>66</v>
      </c>
      <c r="B174" t="s">
        <v>34</v>
      </c>
      <c r="C174">
        <v>0.60470950241821897</v>
      </c>
      <c r="D174">
        <v>0.59499971061711598</v>
      </c>
      <c r="E174">
        <v>0.79746283854040101</v>
      </c>
      <c r="F174">
        <v>0.79128370595865105</v>
      </c>
      <c r="G174">
        <v>0.62256614474338701</v>
      </c>
      <c r="H174">
        <v>0.62233005404072295</v>
      </c>
      <c r="I174">
        <v>0.63471531042956097</v>
      </c>
      <c r="J174">
        <v>0.62497463568976097</v>
      </c>
      <c r="K174">
        <v>0.78514464061560696</v>
      </c>
      <c r="L174">
        <f t="shared" si="17"/>
        <v>9.4280056820766745E-5</v>
      </c>
      <c r="M174">
        <f t="shared" si="18"/>
        <v>3.7153848586230886E-2</v>
      </c>
      <c r="N174">
        <f t="shared" si="19"/>
        <v>3.4809933426746577E-2</v>
      </c>
      <c r="O174">
        <f t="shared" si="20"/>
        <v>3.1885967512898256E-4</v>
      </c>
      <c r="P174">
        <f t="shared" si="21"/>
        <v>3.1048383948132757E-4</v>
      </c>
      <c r="Q174">
        <f t="shared" si="22"/>
        <v>9.0034851441351605E-4</v>
      </c>
      <c r="R174">
        <f t="shared" si="23"/>
        <v>4.1067562651335866E-4</v>
      </c>
      <c r="S174">
        <f t="shared" si="24"/>
        <v>3.2556839096310505E-2</v>
      </c>
    </row>
    <row r="175" spans="1:19" x14ac:dyDescent="0.2">
      <c r="A175" t="s">
        <v>66</v>
      </c>
      <c r="B175" t="s">
        <v>35</v>
      </c>
      <c r="C175">
        <v>0.58838577012939797</v>
      </c>
      <c r="D175">
        <v>0.38464209861645599</v>
      </c>
      <c r="E175">
        <v>0.63294921645868596</v>
      </c>
      <c r="F175">
        <v>0.67607974318215602</v>
      </c>
      <c r="G175">
        <v>0.51770140191576697</v>
      </c>
      <c r="H175">
        <v>0.40913675706890901</v>
      </c>
      <c r="I175">
        <v>0.447474919646067</v>
      </c>
      <c r="J175">
        <v>0.33251338365293298</v>
      </c>
      <c r="K175">
        <v>0.51938650622795401</v>
      </c>
      <c r="L175">
        <f t="shared" si="17"/>
        <v>4.1511483681573605E-2</v>
      </c>
      <c r="M175">
        <f t="shared" si="18"/>
        <v>1.9859007487433313E-3</v>
      </c>
      <c r="N175">
        <f t="shared" si="19"/>
        <v>7.6902329097778563E-3</v>
      </c>
      <c r="O175">
        <f t="shared" si="20"/>
        <v>4.9962799097601684E-3</v>
      </c>
      <c r="P175">
        <f t="shared" si="21"/>
        <v>3.2130208683159342E-2</v>
      </c>
      <c r="Q175">
        <f t="shared" si="22"/>
        <v>1.9855867783935655E-2</v>
      </c>
      <c r="R175">
        <f t="shared" si="23"/>
        <v>6.5470678161161464E-2</v>
      </c>
      <c r="S175">
        <f t="shared" si="24"/>
        <v>4.7608984189411062E-3</v>
      </c>
    </row>
    <row r="176" spans="1:19" x14ac:dyDescent="0.2">
      <c r="A176" t="s">
        <v>66</v>
      </c>
      <c r="B176" t="s">
        <v>36</v>
      </c>
      <c r="C176">
        <v>0.61521921256139001</v>
      </c>
      <c r="D176">
        <v>0.53019395501477395</v>
      </c>
      <c r="E176">
        <v>0.77463309348558695</v>
      </c>
      <c r="F176">
        <v>0.785688505339872</v>
      </c>
      <c r="G176">
        <v>0.62163782387976896</v>
      </c>
      <c r="H176">
        <v>0.63230818354142004</v>
      </c>
      <c r="I176">
        <v>0.64379332264297096</v>
      </c>
      <c r="J176">
        <v>0.64132759800706796</v>
      </c>
      <c r="K176">
        <v>0.63908130400168195</v>
      </c>
      <c r="L176">
        <f t="shared" si="17"/>
        <v>7.2292944208683894E-3</v>
      </c>
      <c r="M176">
        <f t="shared" si="18"/>
        <v>2.5412785431314044E-2</v>
      </c>
      <c r="N176">
        <f t="shared" si="19"/>
        <v>2.9059779780395815E-2</v>
      </c>
      <c r="O176">
        <f t="shared" si="20"/>
        <v>4.1198571256422402E-5</v>
      </c>
      <c r="P176">
        <f t="shared" si="21"/>
        <v>2.9203292915630882E-4</v>
      </c>
      <c r="Q176">
        <f t="shared" si="22"/>
        <v>8.1647976695430611E-4</v>
      </c>
      <c r="R176">
        <f t="shared" si="23"/>
        <v>6.8164779058008823E-4</v>
      </c>
      <c r="S176">
        <f t="shared" si="24"/>
        <v>5.6939940790485405E-4</v>
      </c>
    </row>
    <row r="177" spans="1:19" x14ac:dyDescent="0.2">
      <c r="A177" t="s">
        <v>66</v>
      </c>
      <c r="B177" t="s">
        <v>37</v>
      </c>
      <c r="C177">
        <v>0.58257228684943896</v>
      </c>
      <c r="D177">
        <v>0.26354050014842201</v>
      </c>
      <c r="E177">
        <v>0.382249904156165</v>
      </c>
      <c r="F177">
        <v>0.483198943568729</v>
      </c>
      <c r="G177">
        <v>0.24886334978282401</v>
      </c>
      <c r="H177">
        <v>0.341402341737502</v>
      </c>
      <c r="I177">
        <v>0.35967385532576102</v>
      </c>
      <c r="J177">
        <v>0.412275002373721</v>
      </c>
      <c r="K177">
        <v>0.58860740259178901</v>
      </c>
      <c r="L177">
        <f t="shared" si="17"/>
        <v>0.10178128092564317</v>
      </c>
      <c r="M177">
        <f t="shared" si="18"/>
        <v>4.0129057007910508E-2</v>
      </c>
      <c r="N177">
        <f t="shared" si="19"/>
        <v>9.8750613547858232E-3</v>
      </c>
      <c r="O177">
        <f t="shared" si="20"/>
        <v>0.11136165467812999</v>
      </c>
      <c r="P177">
        <f t="shared" si="21"/>
        <v>5.8162942425294684E-2</v>
      </c>
      <c r="Q177">
        <f t="shared" si="22"/>
        <v>4.9683710775715748E-2</v>
      </c>
      <c r="R177">
        <f t="shared" si="23"/>
        <v>2.9001165099803609E-2</v>
      </c>
      <c r="S177">
        <f t="shared" si="24"/>
        <v>3.6422622023561393E-5</v>
      </c>
    </row>
    <row r="178" spans="1:19" x14ac:dyDescent="0.2">
      <c r="A178" t="s">
        <v>66</v>
      </c>
      <c r="B178" t="s">
        <v>38</v>
      </c>
      <c r="C178">
        <v>0.57994068685049005</v>
      </c>
      <c r="D178">
        <v>0.50056442839742898</v>
      </c>
      <c r="E178">
        <v>0.84863978362104098</v>
      </c>
      <c r="F178">
        <v>0.68803402428537996</v>
      </c>
      <c r="G178">
        <v>0.49498620211488997</v>
      </c>
      <c r="H178">
        <v>0.52122823140785601</v>
      </c>
      <c r="I178">
        <v>0.53630574171349499</v>
      </c>
      <c r="J178">
        <v>0.55092632515319195</v>
      </c>
      <c r="K178">
        <v>5.1137301320138704</v>
      </c>
      <c r="L178">
        <f t="shared" si="17"/>
        <v>6.3005904060071481E-3</v>
      </c>
      <c r="M178">
        <f t="shared" si="18"/>
        <v>7.2199204605309888E-2</v>
      </c>
      <c r="N178">
        <f t="shared" si="19"/>
        <v>1.1684169597812974E-2</v>
      </c>
      <c r="O178">
        <f t="shared" si="20"/>
        <v>7.2172644766913064E-3</v>
      </c>
      <c r="P178">
        <f t="shared" si="21"/>
        <v>3.447152424103287E-3</v>
      </c>
      <c r="Q178">
        <f t="shared" si="22"/>
        <v>1.904008437108569E-3</v>
      </c>
      <c r="R178">
        <f t="shared" si="23"/>
        <v>8.4183318470163891E-4</v>
      </c>
      <c r="S178">
        <f t="shared" si="24"/>
        <v>20.555246733074874</v>
      </c>
    </row>
    <row r="179" spans="1:19" x14ac:dyDescent="0.2">
      <c r="A179" t="s">
        <v>66</v>
      </c>
      <c r="B179" t="s">
        <v>39</v>
      </c>
      <c r="C179">
        <v>0.48043667278070101</v>
      </c>
      <c r="D179">
        <v>0.21570813175078099</v>
      </c>
      <c r="E179">
        <v>0.47922260107471798</v>
      </c>
      <c r="F179">
        <v>0.437856974149398</v>
      </c>
      <c r="G179">
        <v>0.33191825835549998</v>
      </c>
      <c r="H179">
        <v>0.28189190236567302</v>
      </c>
      <c r="I179">
        <v>0.32085640406378302</v>
      </c>
      <c r="J179">
        <v>0.26198234288910199</v>
      </c>
      <c r="K179">
        <v>0.33315410035658599</v>
      </c>
      <c r="L179">
        <f t="shared" si="17"/>
        <v>7.0081200435830063E-2</v>
      </c>
      <c r="M179">
        <f t="shared" si="18"/>
        <v>1.4739701072685523E-6</v>
      </c>
      <c r="N179">
        <f t="shared" si="19"/>
        <v>1.8130307355325873E-3</v>
      </c>
      <c r="O179">
        <f t="shared" si="20"/>
        <v>2.2057719423375761E-2</v>
      </c>
      <c r="P179">
        <f t="shared" si="21"/>
        <v>3.9420025859156174E-2</v>
      </c>
      <c r="Q179">
        <f t="shared" si="22"/>
        <v>2.5465862163763755E-2</v>
      </c>
      <c r="R179">
        <f t="shared" si="23"/>
        <v>4.7722294248387573E-2</v>
      </c>
      <c r="S179">
        <f t="shared" si="24"/>
        <v>2.1692156139864686E-2</v>
      </c>
    </row>
    <row r="180" spans="1:19" x14ac:dyDescent="0.2">
      <c r="A180" t="s">
        <v>66</v>
      </c>
      <c r="B180" t="s">
        <v>40</v>
      </c>
      <c r="C180">
        <v>0.56602953953146595</v>
      </c>
      <c r="D180">
        <v>0.48200755658500899</v>
      </c>
      <c r="E180">
        <v>0.53044955119018</v>
      </c>
      <c r="F180">
        <v>0.61397447642351</v>
      </c>
      <c r="G180">
        <v>0.40202251876211997</v>
      </c>
      <c r="H180">
        <v>0.49055732581092698</v>
      </c>
      <c r="I180">
        <v>0.50459907270404503</v>
      </c>
      <c r="J180">
        <v>0.54458123674768799</v>
      </c>
      <c r="K180">
        <v>0.52314402797294901</v>
      </c>
      <c r="L180">
        <f t="shared" si="17"/>
        <v>7.0596936182547049E-3</v>
      </c>
      <c r="M180">
        <f t="shared" si="18"/>
        <v>1.2659355703660443E-3</v>
      </c>
      <c r="N180">
        <f t="shared" si="19"/>
        <v>2.2987169735820857E-3</v>
      </c>
      <c r="O180">
        <f t="shared" si="20"/>
        <v>2.6898302861636685E-2</v>
      </c>
      <c r="P180">
        <f t="shared" si="21"/>
        <v>5.6960550438787108E-3</v>
      </c>
      <c r="Q180">
        <f t="shared" si="22"/>
        <v>3.773702254634863E-3</v>
      </c>
      <c r="R180">
        <f t="shared" si="23"/>
        <v>4.6002969230461748E-4</v>
      </c>
      <c r="S180">
        <f t="shared" si="24"/>
        <v>1.8391671016356902E-3</v>
      </c>
    </row>
    <row r="181" spans="1:19" x14ac:dyDescent="0.2">
      <c r="A181" t="s">
        <v>66</v>
      </c>
      <c r="B181" t="s">
        <v>41</v>
      </c>
      <c r="C181">
        <v>0.66869424170296499</v>
      </c>
      <c r="D181">
        <v>0.61261619559731195</v>
      </c>
      <c r="E181">
        <v>0.87371633490240996</v>
      </c>
      <c r="F181">
        <v>0.83041418763987596</v>
      </c>
      <c r="G181">
        <v>0.66702610292106801</v>
      </c>
      <c r="H181">
        <v>0.64543465366589803</v>
      </c>
      <c r="I181">
        <v>0.65794824462958901</v>
      </c>
      <c r="J181">
        <v>0.62296860549811905</v>
      </c>
      <c r="K181">
        <v>0.66704308983087002</v>
      </c>
      <c r="L181">
        <f t="shared" si="17"/>
        <v>3.1447472550277474E-3</v>
      </c>
      <c r="M181">
        <f t="shared" si="18"/>
        <v>4.2034058699881902E-2</v>
      </c>
      <c r="N181">
        <f t="shared" si="19"/>
        <v>2.6153340913837406E-2</v>
      </c>
      <c r="O181">
        <f t="shared" si="20"/>
        <v>2.7826869956687312E-6</v>
      </c>
      <c r="P181">
        <f t="shared" si="21"/>
        <v>5.4100843565406832E-4</v>
      </c>
      <c r="Q181">
        <f t="shared" si="22"/>
        <v>1.1547645310100511E-4</v>
      </c>
      <c r="R181">
        <f t="shared" si="23"/>
        <v>2.0908338063379173E-3</v>
      </c>
      <c r="S181">
        <f t="shared" si="24"/>
        <v>2.7263025047227214E-6</v>
      </c>
    </row>
    <row r="182" spans="1:19" x14ac:dyDescent="0.2">
      <c r="A182" t="s">
        <v>66</v>
      </c>
      <c r="B182" t="s">
        <v>42</v>
      </c>
      <c r="C182">
        <v>0.50050263885799395</v>
      </c>
      <c r="D182">
        <v>0.36696711790993702</v>
      </c>
      <c r="E182">
        <v>0.59839939863789604</v>
      </c>
      <c r="F182">
        <v>0.58998861758023402</v>
      </c>
      <c r="G182">
        <v>0.45023665134340901</v>
      </c>
      <c r="H182">
        <v>0.366180618424645</v>
      </c>
      <c r="I182">
        <v>0.40221277118030302</v>
      </c>
      <c r="J182">
        <v>0.325908634225959</v>
      </c>
      <c r="K182">
        <v>0.45075652826405199</v>
      </c>
      <c r="L182">
        <f t="shared" si="17"/>
        <v>1.7831735354868952E-2</v>
      </c>
      <c r="M182">
        <f t="shared" si="18"/>
        <v>9.5837755754038557E-3</v>
      </c>
      <c r="N182">
        <f t="shared" si="19"/>
        <v>8.0077403878772019E-3</v>
      </c>
      <c r="O182">
        <f t="shared" si="20"/>
        <v>2.5266695008164092E-3</v>
      </c>
      <c r="P182">
        <f t="shared" si="21"/>
        <v>1.8042405173297013E-2</v>
      </c>
      <c r="Q182">
        <f t="shared" si="22"/>
        <v>9.6608980880979935E-3</v>
      </c>
      <c r="R182">
        <f t="shared" si="23"/>
        <v>3.048306645345104E-2</v>
      </c>
      <c r="S182">
        <f t="shared" si="24"/>
        <v>2.4746755192247044E-3</v>
      </c>
    </row>
    <row r="183" spans="1:19" x14ac:dyDescent="0.2">
      <c r="A183" t="s">
        <v>66</v>
      </c>
      <c r="B183" t="s">
        <v>43</v>
      </c>
      <c r="C183">
        <v>0.656825026547182</v>
      </c>
      <c r="D183">
        <v>0.52025452028313202</v>
      </c>
      <c r="E183">
        <v>0.71294215738085798</v>
      </c>
      <c r="F183">
        <v>0.77635817921055605</v>
      </c>
      <c r="G183">
        <v>0.60701148910508396</v>
      </c>
      <c r="H183">
        <v>0.58032103518751799</v>
      </c>
      <c r="I183">
        <v>0.59844322881989098</v>
      </c>
      <c r="J183">
        <v>0.54606388694644403</v>
      </c>
      <c r="K183">
        <v>0.61003554830262696</v>
      </c>
      <c r="L183">
        <f t="shared" si="17"/>
        <v>1.8651503181218915E-2</v>
      </c>
      <c r="M183">
        <f t="shared" si="18"/>
        <v>3.1491323730039071E-3</v>
      </c>
      <c r="N183">
        <f t="shared" si="19"/>
        <v>1.4288174585645488E-2</v>
      </c>
      <c r="O183">
        <f t="shared" si="20"/>
        <v>2.4813885124953037E-3</v>
      </c>
      <c r="P183">
        <f t="shared" si="21"/>
        <v>5.8528606939595457E-3</v>
      </c>
      <c r="Q183">
        <f t="shared" si="22"/>
        <v>3.4084343058703227E-3</v>
      </c>
      <c r="R183">
        <f t="shared" si="23"/>
        <v>1.2268030045654164E-2</v>
      </c>
      <c r="S183">
        <f t="shared" si="24"/>
        <v>2.1892552743976892E-3</v>
      </c>
    </row>
    <row r="184" spans="1:19" x14ac:dyDescent="0.2">
      <c r="A184" t="s">
        <v>66</v>
      </c>
      <c r="B184" t="s">
        <v>44</v>
      </c>
      <c r="C184">
        <v>0.69255449571138805</v>
      </c>
      <c r="D184">
        <v>0.49217659718934798</v>
      </c>
      <c r="E184">
        <v>0.62649531432316197</v>
      </c>
      <c r="F184">
        <v>0.66908238855747804</v>
      </c>
      <c r="G184">
        <v>0.47347815025365197</v>
      </c>
      <c r="H184">
        <v>0.56107247379978797</v>
      </c>
      <c r="I184">
        <v>0.571881716698034</v>
      </c>
      <c r="J184">
        <v>0.60506706561979895</v>
      </c>
      <c r="K184">
        <v>0.58421363934258796</v>
      </c>
      <c r="L184">
        <f t="shared" si="17"/>
        <v>4.0151302216108992E-2</v>
      </c>
      <c r="M184">
        <f t="shared" si="18"/>
        <v>4.3638154456825552E-3</v>
      </c>
      <c r="N184">
        <f t="shared" si="19"/>
        <v>5.509398142446337E-4</v>
      </c>
      <c r="O184">
        <f t="shared" si="20"/>
        <v>4.7994445139117319E-2</v>
      </c>
      <c r="P184">
        <f t="shared" si="21"/>
        <v>1.7287522085962483E-2</v>
      </c>
      <c r="Q184">
        <f t="shared" si="22"/>
        <v>1.4561919594805781E-2</v>
      </c>
      <c r="R184">
        <f t="shared" si="23"/>
        <v>7.6540504240306907E-3</v>
      </c>
      <c r="S184">
        <f t="shared" si="24"/>
        <v>1.173774115872497E-2</v>
      </c>
    </row>
    <row r="185" spans="1:19" x14ac:dyDescent="0.2">
      <c r="A185" t="s">
        <v>66</v>
      </c>
      <c r="B185" t="s">
        <v>45</v>
      </c>
      <c r="C185">
        <v>0.67990650228849203</v>
      </c>
      <c r="D185">
        <v>0.64144686614924495</v>
      </c>
      <c r="E185">
        <v>0.81184043234633896</v>
      </c>
      <c r="F185">
        <v>0.83071772935697696</v>
      </c>
      <c r="G185">
        <v>0.67549385661236006</v>
      </c>
      <c r="H185">
        <v>0.67986045404109197</v>
      </c>
      <c r="I185">
        <v>0.49999998710635402</v>
      </c>
      <c r="J185">
        <v>0.68166373498709498</v>
      </c>
      <c r="K185">
        <v>0.67552949053740197</v>
      </c>
      <c r="L185">
        <f t="shared" si="17"/>
        <v>1.4791436119632798E-3</v>
      </c>
      <c r="M185">
        <f t="shared" si="18"/>
        <v>1.7406561900508846E-2</v>
      </c>
      <c r="N185">
        <f t="shared" si="19"/>
        <v>2.2744026209902124E-2</v>
      </c>
      <c r="O185">
        <f t="shared" si="20"/>
        <v>1.9471441863086227E-5</v>
      </c>
      <c r="P185">
        <f t="shared" si="21"/>
        <v>2.1204410886176516E-9</v>
      </c>
      <c r="Q185">
        <f t="shared" si="22"/>
        <v>3.2366354204980859E-2</v>
      </c>
      <c r="R185">
        <f t="shared" si="23"/>
        <v>3.0878667570394088E-6</v>
      </c>
      <c r="S185">
        <f t="shared" si="24"/>
        <v>1.9158231869180518E-5</v>
      </c>
    </row>
    <row r="186" spans="1:19" x14ac:dyDescent="0.2">
      <c r="A186" t="s">
        <v>66</v>
      </c>
      <c r="B186" t="s">
        <v>46</v>
      </c>
      <c r="C186">
        <v>0.67031018537975695</v>
      </c>
      <c r="D186">
        <v>0.59996160911402896</v>
      </c>
      <c r="E186">
        <v>0.89678956218730499</v>
      </c>
      <c r="F186">
        <v>0.78572176851353004</v>
      </c>
      <c r="G186">
        <v>0.60881089307861302</v>
      </c>
      <c r="H186">
        <v>0.67436902874656801</v>
      </c>
      <c r="I186">
        <v>0.68067099293115696</v>
      </c>
      <c r="J186">
        <v>0.71508511164144495</v>
      </c>
      <c r="K186">
        <v>0.70586741756006599</v>
      </c>
      <c r="L186">
        <f t="shared" si="17"/>
        <v>4.948922182614948E-3</v>
      </c>
      <c r="M186">
        <f t="shared" si="18"/>
        <v>5.1292908119135332E-2</v>
      </c>
      <c r="N186">
        <f t="shared" si="19"/>
        <v>1.3319833521443817E-2</v>
      </c>
      <c r="O186">
        <f t="shared" si="20"/>
        <v>3.7821629535415408E-3</v>
      </c>
      <c r="P186">
        <f t="shared" si="21"/>
        <v>1.6474209476306142E-5</v>
      </c>
      <c r="Q186">
        <f t="shared" si="22"/>
        <v>1.0734633311714744E-4</v>
      </c>
      <c r="R186">
        <f t="shared" si="23"/>
        <v>2.0047940217395974E-3</v>
      </c>
      <c r="S186">
        <f t="shared" si="24"/>
        <v>1.2643167603244047E-3</v>
      </c>
    </row>
    <row r="187" spans="1:19" x14ac:dyDescent="0.2">
      <c r="A187" t="s">
        <v>66</v>
      </c>
      <c r="B187" t="s">
        <v>47</v>
      </c>
      <c r="C187">
        <v>0.5</v>
      </c>
      <c r="D187">
        <v>0.3922383922396</v>
      </c>
      <c r="E187">
        <v>1.10512327086761</v>
      </c>
      <c r="F187">
        <v>0.66638206220984397</v>
      </c>
      <c r="G187">
        <v>0.46183583660309901</v>
      </c>
      <c r="H187">
        <v>0.44371426901433503</v>
      </c>
      <c r="I187">
        <v>0.46923367257479898</v>
      </c>
      <c r="J187">
        <v>0.43471457663146801</v>
      </c>
      <c r="K187">
        <v>0.461844026841989</v>
      </c>
      <c r="L187">
        <f t="shared" si="17"/>
        <v>1.1612564107106302E-2</v>
      </c>
      <c r="M187">
        <f t="shared" si="18"/>
        <v>0.36617417294551485</v>
      </c>
      <c r="N187">
        <f t="shared" si="19"/>
        <v>2.7682990625200389E-2</v>
      </c>
      <c r="O187">
        <f t="shared" si="20"/>
        <v>1.4565033677853569E-3</v>
      </c>
      <c r="P187">
        <f t="shared" si="21"/>
        <v>3.1680835125906461E-3</v>
      </c>
      <c r="Q187">
        <f t="shared" si="22"/>
        <v>9.4656690323467664E-4</v>
      </c>
      <c r="R187">
        <f t="shared" si="23"/>
        <v>4.2621865044084632E-3</v>
      </c>
      <c r="S187">
        <f t="shared" si="24"/>
        <v>1.4558782876348561E-3</v>
      </c>
    </row>
    <row r="188" spans="1:19" x14ac:dyDescent="0.2">
      <c r="A188" t="s">
        <v>66</v>
      </c>
      <c r="B188" t="s">
        <v>48</v>
      </c>
      <c r="C188">
        <v>0.59388611698355998</v>
      </c>
      <c r="D188">
        <v>0.35541021478283402</v>
      </c>
      <c r="E188">
        <v>0.55179391880647499</v>
      </c>
      <c r="F188">
        <v>0.57852863883730599</v>
      </c>
      <c r="G188">
        <v>0.43349048819443298</v>
      </c>
      <c r="H188">
        <v>0.32956926046617002</v>
      </c>
      <c r="I188">
        <v>0.370284691804244</v>
      </c>
      <c r="J188">
        <v>0.274353948117108</v>
      </c>
      <c r="K188">
        <v>0.43558745912416302</v>
      </c>
      <c r="L188">
        <f t="shared" si="17"/>
        <v>5.6870755930450212E-2</v>
      </c>
      <c r="M188">
        <f t="shared" si="18"/>
        <v>1.7717531473789964E-3</v>
      </c>
      <c r="N188">
        <f t="shared" si="19"/>
        <v>2.3585213501266884E-4</v>
      </c>
      <c r="O188">
        <f t="shared" si="20"/>
        <v>2.5726757734659426E-2</v>
      </c>
      <c r="P188">
        <f t="shared" si="21"/>
        <v>6.9863400639234505E-2</v>
      </c>
      <c r="Q188">
        <f t="shared" si="22"/>
        <v>4.9997597342221235E-2</v>
      </c>
      <c r="R188">
        <f t="shared" si="23"/>
        <v>0.10210080694049878</v>
      </c>
      <c r="S188">
        <f t="shared" si="24"/>
        <v>2.5058465080086415E-2</v>
      </c>
    </row>
    <row r="189" spans="1:19" x14ac:dyDescent="0.2">
      <c r="A189" t="s">
        <v>66</v>
      </c>
      <c r="B189" t="s">
        <v>49</v>
      </c>
      <c r="C189">
        <v>0.56322654207995004</v>
      </c>
      <c r="D189">
        <v>0.29722690876042102</v>
      </c>
      <c r="E189">
        <v>0.47458359029860903</v>
      </c>
      <c r="F189">
        <v>0.51603146940356104</v>
      </c>
      <c r="G189">
        <v>0.26769514165785602</v>
      </c>
      <c r="H189">
        <v>0.38288012793128301</v>
      </c>
      <c r="I189">
        <v>0.396949074554654</v>
      </c>
      <c r="J189">
        <v>0.46155880853138398</v>
      </c>
      <c r="K189">
        <v>0.60482588855284702</v>
      </c>
      <c r="L189">
        <f t="shared" si="17"/>
        <v>7.0755804926123891E-2</v>
      </c>
      <c r="M189">
        <f t="shared" si="18"/>
        <v>7.8575729005091483E-3</v>
      </c>
      <c r="N189">
        <f t="shared" si="19"/>
        <v>2.2273748849296398E-3</v>
      </c>
      <c r="O189">
        <f t="shared" si="20"/>
        <v>8.7338808635444076E-2</v>
      </c>
      <c r="P189">
        <f t="shared" si="21"/>
        <v>3.2524829096282529E-2</v>
      </c>
      <c r="Q189">
        <f t="shared" si="22"/>
        <v>2.7648196206625879E-2</v>
      </c>
      <c r="R189">
        <f t="shared" si="23"/>
        <v>1.0336328044902225E-2</v>
      </c>
      <c r="S189">
        <f t="shared" si="24"/>
        <v>1.7305056269721266E-3</v>
      </c>
    </row>
    <row r="190" spans="1:19" x14ac:dyDescent="0.2">
      <c r="A190" t="s">
        <v>66</v>
      </c>
      <c r="B190" t="s">
        <v>50</v>
      </c>
      <c r="C190">
        <v>0.59499763606551304</v>
      </c>
      <c r="D190">
        <v>0.46624832903963198</v>
      </c>
      <c r="E190">
        <v>0.70703458122501495</v>
      </c>
      <c r="F190">
        <v>0.71939808034629305</v>
      </c>
      <c r="G190">
        <v>0.53914946315206003</v>
      </c>
      <c r="H190">
        <v>0.53749090386951204</v>
      </c>
      <c r="I190">
        <v>0.55664495260825197</v>
      </c>
      <c r="J190">
        <v>0.52633739327997697</v>
      </c>
      <c r="K190">
        <v>0.53924487691390099</v>
      </c>
      <c r="L190">
        <f t="shared" si="17"/>
        <v>1.6576384059644584E-2</v>
      </c>
      <c r="M190">
        <f t="shared" si="18"/>
        <v>1.2552277080673238E-2</v>
      </c>
      <c r="N190">
        <f t="shared" si="19"/>
        <v>1.5475470537255452E-2</v>
      </c>
      <c r="O190">
        <f t="shared" si="20"/>
        <v>3.1190184177709462E-3</v>
      </c>
      <c r="P190">
        <f t="shared" si="21"/>
        <v>3.3070242478625777E-3</v>
      </c>
      <c r="Q190">
        <f t="shared" si="22"/>
        <v>1.4709283283728663E-3</v>
      </c>
      <c r="R190">
        <f t="shared" si="23"/>
        <v>4.7142289393687573E-3</v>
      </c>
      <c r="S190">
        <f t="shared" si="24"/>
        <v>3.1083701530176602E-3</v>
      </c>
    </row>
    <row r="191" spans="1:19" x14ac:dyDescent="0.2">
      <c r="A191" t="s">
        <v>66</v>
      </c>
      <c r="B191" t="s">
        <v>51</v>
      </c>
      <c r="C191">
        <v>0.62926849019015896</v>
      </c>
      <c r="D191">
        <v>0.52111421694004501</v>
      </c>
      <c r="E191">
        <v>0.779694891814115</v>
      </c>
      <c r="F191">
        <v>0.76819097554575</v>
      </c>
      <c r="G191">
        <v>0.59191412834386004</v>
      </c>
      <c r="H191">
        <v>0.59715521250872505</v>
      </c>
      <c r="I191">
        <v>0.61196017807023795</v>
      </c>
      <c r="J191">
        <v>0.592914212438718</v>
      </c>
      <c r="K191">
        <v>0.591958005663339</v>
      </c>
      <c r="L191">
        <f t="shared" si="17"/>
        <v>1.1697346822260314E-2</v>
      </c>
      <c r="M191">
        <f t="shared" si="18"/>
        <v>2.2628102305531726E-2</v>
      </c>
      <c r="N191">
        <f t="shared" si="19"/>
        <v>1.9299456937374407E-2</v>
      </c>
      <c r="O191">
        <f t="shared" si="20"/>
        <v>1.3953483489442327E-3</v>
      </c>
      <c r="P191">
        <f t="shared" si="21"/>
        <v>1.0312626034448809E-3</v>
      </c>
      <c r="Q191">
        <f t="shared" si="22"/>
        <v>2.995776684406045E-4</v>
      </c>
      <c r="R191">
        <f t="shared" si="23"/>
        <v>1.3216335108289148E-3</v>
      </c>
      <c r="S191">
        <f t="shared" si="24"/>
        <v>1.3920722556260711E-3</v>
      </c>
    </row>
    <row r="192" spans="1:19" x14ac:dyDescent="0.2">
      <c r="A192" t="s">
        <v>66</v>
      </c>
      <c r="B192" t="s">
        <v>52</v>
      </c>
      <c r="C192">
        <v>0.56600899462648901</v>
      </c>
      <c r="D192">
        <v>0.42039091039770798</v>
      </c>
      <c r="E192">
        <v>0.77154047834068296</v>
      </c>
      <c r="F192">
        <v>0.68778847075853899</v>
      </c>
      <c r="G192">
        <v>0.50479170720859701</v>
      </c>
      <c r="H192">
        <v>0.46843719907959003</v>
      </c>
      <c r="I192">
        <v>0.49476177505436802</v>
      </c>
      <c r="J192">
        <v>0.431581915276668</v>
      </c>
      <c r="K192">
        <v>0.50479241804027297</v>
      </c>
      <c r="L192">
        <f t="shared" si="17"/>
        <v>2.1204626454460366E-2</v>
      </c>
      <c r="M192">
        <f t="shared" si="18"/>
        <v>4.2243190797757971E-2</v>
      </c>
      <c r="N192">
        <f t="shared" si="19"/>
        <v>1.483024080699653E-2</v>
      </c>
      <c r="O192">
        <f t="shared" si="20"/>
        <v>3.7475562788047991E-3</v>
      </c>
      <c r="P192">
        <f t="shared" si="21"/>
        <v>9.5202552862458569E-3</v>
      </c>
      <c r="Q192">
        <f t="shared" si="22"/>
        <v>5.0761662967580201E-3</v>
      </c>
      <c r="R192">
        <f t="shared" si="23"/>
        <v>1.8070639662523074E-2</v>
      </c>
      <c r="S192">
        <f t="shared" si="24"/>
        <v>3.7474692489360543E-3</v>
      </c>
    </row>
    <row r="193" spans="1:19" x14ac:dyDescent="0.2">
      <c r="A193" t="s">
        <v>66</v>
      </c>
      <c r="B193" t="s">
        <v>53</v>
      </c>
      <c r="C193">
        <v>0.63058554143455103</v>
      </c>
      <c r="D193">
        <v>0.35094190279746401</v>
      </c>
      <c r="E193">
        <v>0.63388565063110502</v>
      </c>
      <c r="F193">
        <v>0.575752799024004</v>
      </c>
      <c r="G193">
        <v>0.369913763991853</v>
      </c>
      <c r="H193">
        <v>0.43479489807706001</v>
      </c>
      <c r="I193">
        <v>0.45329995008400997</v>
      </c>
      <c r="J193">
        <v>0.48061799858793097</v>
      </c>
      <c r="K193">
        <v>0.48636319940270101</v>
      </c>
      <c r="L193">
        <f t="shared" si="17"/>
        <v>7.8200564630189706E-2</v>
      </c>
      <c r="M193">
        <f t="shared" si="18"/>
        <v>1.0890720709180226E-5</v>
      </c>
      <c r="N193">
        <f t="shared" si="19"/>
        <v>3.0066296402614032E-3</v>
      </c>
      <c r="O193">
        <f t="shared" si="20"/>
        <v>6.7949775555135497E-2</v>
      </c>
      <c r="P193">
        <f t="shared" si="21"/>
        <v>3.8333976026340241E-2</v>
      </c>
      <c r="Q193">
        <f t="shared" si="22"/>
        <v>3.1430180900511043E-2</v>
      </c>
      <c r="R193">
        <f t="shared" si="23"/>
        <v>2.2490263907452825E-2</v>
      </c>
      <c r="S193">
        <f t="shared" si="24"/>
        <v>2.0800083941151935E-2</v>
      </c>
    </row>
    <row r="194" spans="1:19" x14ac:dyDescent="0.2">
      <c r="A194" t="s">
        <v>66</v>
      </c>
      <c r="B194" t="s">
        <v>54</v>
      </c>
      <c r="C194">
        <v>0.41210526316580598</v>
      </c>
      <c r="D194">
        <v>0.29308341608197902</v>
      </c>
      <c r="E194">
        <v>0.70855684902050298</v>
      </c>
      <c r="F194">
        <v>0.54310794715597199</v>
      </c>
      <c r="G194">
        <v>0.34990640976096599</v>
      </c>
      <c r="H194">
        <v>0.39493743576787299</v>
      </c>
      <c r="I194">
        <v>0.41883248670211198</v>
      </c>
      <c r="J194">
        <v>0.42781726825003902</v>
      </c>
      <c r="K194">
        <v>0.41502670297861</v>
      </c>
      <c r="L194">
        <f t="shared" si="17"/>
        <v>1.4166200083245888E-2</v>
      </c>
      <c r="M194">
        <f t="shared" si="18"/>
        <v>8.7883542755764779E-2</v>
      </c>
      <c r="N194">
        <f t="shared" si="19"/>
        <v>1.7161703212627298E-2</v>
      </c>
      <c r="O194">
        <f t="shared" si="20"/>
        <v>3.8686973648767754E-3</v>
      </c>
      <c r="P194">
        <f t="shared" si="21"/>
        <v>2.9473429756521856E-4</v>
      </c>
      <c r="Q194">
        <f t="shared" si="22"/>
        <v>4.5255536507429459E-5</v>
      </c>
      <c r="R194">
        <f t="shared" si="23"/>
        <v>2.4686710376696486E-4</v>
      </c>
      <c r="S194">
        <f t="shared" si="24"/>
        <v>8.5348105798363658E-6</v>
      </c>
    </row>
    <row r="195" spans="1:19" x14ac:dyDescent="0.2">
      <c r="A195" t="s">
        <v>66</v>
      </c>
      <c r="B195" t="s">
        <v>55</v>
      </c>
      <c r="C195">
        <v>0.67167674376250996</v>
      </c>
      <c r="D195">
        <v>0.42223065558654699</v>
      </c>
      <c r="E195">
        <v>0.655826783804347</v>
      </c>
      <c r="F195">
        <v>0.61478991497298796</v>
      </c>
      <c r="G195">
        <v>0.40598860098483303</v>
      </c>
      <c r="H195">
        <v>0.483350790828599</v>
      </c>
      <c r="I195">
        <v>0.49688402590115699</v>
      </c>
      <c r="J195">
        <v>0.54244429359965196</v>
      </c>
      <c r="K195">
        <v>0.70785063996699404</v>
      </c>
      <c r="L195">
        <f t="shared" ref="L195:L258" si="25">(D195-$C195)^2</f>
        <v>6.2223350906290296E-2</v>
      </c>
      <c r="M195">
        <f t="shared" ref="M195:M258" si="26">(E195-$C195)^2</f>
        <v>2.5122123067536925E-4</v>
      </c>
      <c r="N195">
        <f t="shared" ref="N195:N258" si="27">(F195-$C195)^2</f>
        <v>3.2361112897283896E-3</v>
      </c>
      <c r="O195">
        <f t="shared" ref="O195:O258" si="28">(G195-$C195)^2</f>
        <v>7.0590189212651241E-2</v>
      </c>
      <c r="P195">
        <f t="shared" ref="P195:P258" si="29">(H195-$C195)^2</f>
        <v>3.546666454846565E-2</v>
      </c>
      <c r="Q195">
        <f t="shared" ref="Q195:Q258" si="30">(I195-$C195)^2</f>
        <v>3.0552494217358544E-2</v>
      </c>
      <c r="R195">
        <f t="shared" ref="R195:R258" si="31">(J195-$C195)^2</f>
        <v>1.6701026175095578E-2</v>
      </c>
      <c r="S195">
        <f t="shared" ref="S195:S258" si="32">(K195-$C195)^2</f>
        <v>1.3085507666127877E-3</v>
      </c>
    </row>
    <row r="196" spans="1:19" x14ac:dyDescent="0.2">
      <c r="A196" t="s">
        <v>66</v>
      </c>
      <c r="B196" t="s">
        <v>56</v>
      </c>
      <c r="C196">
        <v>0.695290853161877</v>
      </c>
      <c r="D196">
        <v>0.43984266009130402</v>
      </c>
      <c r="E196">
        <v>0.65766501222834095</v>
      </c>
      <c r="F196">
        <v>0.64510832123953699</v>
      </c>
      <c r="G196">
        <v>0.45770969993877503</v>
      </c>
      <c r="H196">
        <v>0.47722928916081597</v>
      </c>
      <c r="I196">
        <v>0.49646185399012499</v>
      </c>
      <c r="J196">
        <v>0.50560726819243595</v>
      </c>
      <c r="K196">
        <v>0.72606253339566396</v>
      </c>
      <c r="L196">
        <f t="shared" si="25"/>
        <v>6.5253779343020735E-2</v>
      </c>
      <c r="M196">
        <f t="shared" si="26"/>
        <v>1.4157039059557567E-3</v>
      </c>
      <c r="N196">
        <f t="shared" si="27"/>
        <v>2.5182865101366744E-3</v>
      </c>
      <c r="O196">
        <f t="shared" si="28"/>
        <v>5.6444804366819055E-2</v>
      </c>
      <c r="P196">
        <f t="shared" si="29"/>
        <v>4.7550845694588832E-2</v>
      </c>
      <c r="Q196">
        <f t="shared" si="30"/>
        <v>3.9532970911640562E-2</v>
      </c>
      <c r="R196">
        <f t="shared" si="31"/>
        <v>3.5979862406859159E-2</v>
      </c>
      <c r="S196">
        <f t="shared" si="32"/>
        <v>9.4689630441043492E-4</v>
      </c>
    </row>
    <row r="197" spans="1:19" x14ac:dyDescent="0.2">
      <c r="A197" t="s">
        <v>66</v>
      </c>
      <c r="B197" t="s">
        <v>57</v>
      </c>
      <c r="C197">
        <v>0.612743587433908</v>
      </c>
      <c r="D197">
        <v>0.45422175036013801</v>
      </c>
      <c r="E197">
        <v>0.98035989681817404</v>
      </c>
      <c r="F197">
        <v>0.70395858187687799</v>
      </c>
      <c r="G197">
        <v>0.50163332931861504</v>
      </c>
      <c r="H197">
        <v>0.51961919479739804</v>
      </c>
      <c r="I197">
        <v>0.537121718272906</v>
      </c>
      <c r="J197">
        <v>0.53769678851801295</v>
      </c>
      <c r="K197">
        <v>0.58551134567302299</v>
      </c>
      <c r="L197">
        <f t="shared" si="25"/>
        <v>2.5129172829242877E-2</v>
      </c>
      <c r="M197">
        <f t="shared" si="26"/>
        <v>0.13514175092530842</v>
      </c>
      <c r="N197">
        <f t="shared" si="27"/>
        <v>8.3201752112310456E-3</v>
      </c>
      <c r="O197">
        <f t="shared" si="28"/>
        <v>1.2345489458447025E-2</v>
      </c>
      <c r="P197">
        <f t="shared" si="29"/>
        <v>8.6721525039188691E-3</v>
      </c>
      <c r="Q197">
        <f t="shared" si="30"/>
        <v>5.7186670954037051E-3</v>
      </c>
      <c r="R197">
        <f t="shared" si="31"/>
        <v>5.6320220275227866E-3</v>
      </c>
      <c r="S197">
        <f t="shared" si="32"/>
        <v>7.4159499132328967E-4</v>
      </c>
    </row>
    <row r="198" spans="1:19" x14ac:dyDescent="0.2">
      <c r="A198" t="s">
        <v>66</v>
      </c>
      <c r="B198" t="s">
        <v>58</v>
      </c>
      <c r="C198">
        <v>0.57018633539999997</v>
      </c>
      <c r="D198">
        <v>0.43366778145819301</v>
      </c>
      <c r="E198">
        <v>0.59541988258704504</v>
      </c>
      <c r="F198">
        <v>0.62235440913134898</v>
      </c>
      <c r="G198">
        <v>0.45282507499929597</v>
      </c>
      <c r="H198">
        <v>0.45754910842479002</v>
      </c>
      <c r="I198">
        <v>0.47886326287292302</v>
      </c>
      <c r="J198">
        <v>0.470821516144452</v>
      </c>
      <c r="K198">
        <v>704510273826973</v>
      </c>
      <c r="L198">
        <f t="shared" si="25"/>
        <v>1.8637315570362054E-2</v>
      </c>
      <c r="M198">
        <f t="shared" si="26"/>
        <v>6.367319036408301E-4</v>
      </c>
      <c r="N198">
        <f t="shared" si="27"/>
        <v>2.7215079168394674E-3</v>
      </c>
      <c r="O198">
        <f t="shared" si="28"/>
        <v>1.3773665442841851E-2</v>
      </c>
      <c r="P198">
        <f t="shared" si="29"/>
        <v>1.2687144900664964E-2</v>
      </c>
      <c r="Q198">
        <f t="shared" si="30"/>
        <v>8.3399035757857551E-3</v>
      </c>
      <c r="R198">
        <f t="shared" si="31"/>
        <v>9.8733673056877157E-3</v>
      </c>
      <c r="S198">
        <f t="shared" si="32"/>
        <v>4.9633472592775561E+29</v>
      </c>
    </row>
    <row r="199" spans="1:19" x14ac:dyDescent="0.2">
      <c r="A199" t="s">
        <v>66</v>
      </c>
      <c r="B199" t="s">
        <v>59</v>
      </c>
      <c r="C199">
        <v>0.71776253912944898</v>
      </c>
      <c r="D199">
        <v>0.61061423332216702</v>
      </c>
      <c r="E199">
        <v>0.82124471328954396</v>
      </c>
      <c r="F199">
        <v>0.82916643117618105</v>
      </c>
      <c r="G199">
        <v>0.66705933978879794</v>
      </c>
      <c r="H199">
        <v>0.67862752386353398</v>
      </c>
      <c r="I199">
        <v>0.49999964401499702</v>
      </c>
      <c r="J199">
        <v>0.66324235789563601</v>
      </c>
      <c r="K199">
        <v>0.66711986483181196</v>
      </c>
      <c r="L199">
        <f t="shared" si="25"/>
        <v>1.1480759437370813E-2</v>
      </c>
      <c r="M199">
        <f t="shared" si="26"/>
        <v>1.0708560368900229E-2</v>
      </c>
      <c r="N199">
        <f t="shared" si="27"/>
        <v>1.2410827163159933E-2</v>
      </c>
      <c r="O199">
        <f t="shared" si="28"/>
        <v>2.5708144233777962E-3</v>
      </c>
      <c r="P199">
        <f t="shared" si="29"/>
        <v>1.5315494198634007E-3</v>
      </c>
      <c r="Q199">
        <f t="shared" si="30"/>
        <v>4.7420678488627806E-2</v>
      </c>
      <c r="R199">
        <f t="shared" si="31"/>
        <v>2.972450161767812E-3</v>
      </c>
      <c r="S199">
        <f t="shared" si="32"/>
        <v>2.5646804600165459E-3</v>
      </c>
    </row>
    <row r="200" spans="1:19" x14ac:dyDescent="0.2">
      <c r="A200" t="s">
        <v>66</v>
      </c>
      <c r="B200" t="s">
        <v>60</v>
      </c>
      <c r="C200">
        <v>0.61575521205184403</v>
      </c>
      <c r="D200">
        <v>0.56276342339204699</v>
      </c>
      <c r="E200">
        <v>0.756696263092833</v>
      </c>
      <c r="F200">
        <v>0.77388812482589597</v>
      </c>
      <c r="G200">
        <v>0.603756419130693</v>
      </c>
      <c r="H200">
        <v>0.654253179829827</v>
      </c>
      <c r="I200">
        <v>0.66206846525424201</v>
      </c>
      <c r="J200">
        <v>0.69031517090470396</v>
      </c>
      <c r="K200">
        <v>0.71168730651962797</v>
      </c>
      <c r="L200">
        <f t="shared" si="25"/>
        <v>2.8081296653645936E-3</v>
      </c>
      <c r="M200">
        <f t="shared" si="26"/>
        <v>1.9864379868538659E-2</v>
      </c>
      <c r="N200">
        <f t="shared" si="27"/>
        <v>2.5006018102405922E-2</v>
      </c>
      <c r="O200">
        <f t="shared" si="28"/>
        <v>1.4397103156466395E-4</v>
      </c>
      <c r="P200">
        <f t="shared" si="29"/>
        <v>1.4820935230346157E-3</v>
      </c>
      <c r="Q200">
        <f t="shared" si="30"/>
        <v>2.1449174221894272E-3</v>
      </c>
      <c r="R200">
        <f t="shared" si="31"/>
        <v>5.5591874641401657E-3</v>
      </c>
      <c r="S200">
        <f t="shared" si="32"/>
        <v>9.202966748975824E-3</v>
      </c>
    </row>
    <row r="201" spans="1:19" x14ac:dyDescent="0.2">
      <c r="A201" t="s">
        <v>66</v>
      </c>
      <c r="B201" t="s">
        <v>61</v>
      </c>
      <c r="C201">
        <v>0.63113941223009495</v>
      </c>
      <c r="D201">
        <v>0.36096415932742998</v>
      </c>
      <c r="E201">
        <v>0.54971072097706197</v>
      </c>
      <c r="F201">
        <v>0.54897991665558399</v>
      </c>
      <c r="G201">
        <v>0.37079209175321198</v>
      </c>
      <c r="H201">
        <v>0.40248693438636701</v>
      </c>
      <c r="I201">
        <v>0.42406865569190599</v>
      </c>
      <c r="J201">
        <v>0.437463000949877</v>
      </c>
      <c r="K201">
        <v>31.655990440837499</v>
      </c>
      <c r="L201">
        <f t="shared" si="25"/>
        <v>7.2994667281018985E-2</v>
      </c>
      <c r="M201">
        <f t="shared" si="26"/>
        <v>6.6306317591817701E-3</v>
      </c>
      <c r="N201">
        <f t="shared" si="27"/>
        <v>6.7501827130580869E-3</v>
      </c>
      <c r="O201">
        <f t="shared" si="28"/>
        <v>6.7780727279492803E-2</v>
      </c>
      <c r="P201">
        <f t="shared" si="29"/>
        <v>5.2281955624076497E-2</v>
      </c>
      <c r="Q201">
        <f t="shared" si="30"/>
        <v>4.2878298213297923E-2</v>
      </c>
      <c r="R201">
        <f t="shared" si="31"/>
        <v>3.7510552286384134E-2</v>
      </c>
      <c r="S201">
        <f t="shared" si="32"/>
        <v>962.54138134728191</v>
      </c>
    </row>
    <row r="202" spans="1:19" x14ac:dyDescent="0.2">
      <c r="A202" t="s">
        <v>66</v>
      </c>
      <c r="B202" t="s">
        <v>62</v>
      </c>
      <c r="C202">
        <v>0.59900945143221196</v>
      </c>
      <c r="D202">
        <v>0.52857528865020897</v>
      </c>
      <c r="E202">
        <v>0.77460148438738596</v>
      </c>
      <c r="F202">
        <v>0.79192617647012098</v>
      </c>
      <c r="G202">
        <v>0.62406507909640896</v>
      </c>
      <c r="H202">
        <v>0.52080296073376497</v>
      </c>
      <c r="I202">
        <v>0.54886439322563896</v>
      </c>
      <c r="J202">
        <v>0.43065175992489502</v>
      </c>
      <c r="K202">
        <v>0.62446251338077696</v>
      </c>
      <c r="L202">
        <f t="shared" si="25"/>
        <v>4.9609712868016942E-3</v>
      </c>
      <c r="M202">
        <f t="shared" si="26"/>
        <v>3.0832562037330914E-2</v>
      </c>
      <c r="N202">
        <f t="shared" si="27"/>
        <v>3.7216862799352192E-2</v>
      </c>
      <c r="O202">
        <f t="shared" si="28"/>
        <v>6.2778447764687403E-4</v>
      </c>
      <c r="P202">
        <f t="shared" si="29"/>
        <v>6.1162551873662745E-3</v>
      </c>
      <c r="Q202">
        <f t="shared" si="30"/>
        <v>2.5145268625405941E-3</v>
      </c>
      <c r="R202">
        <f t="shared" si="31"/>
        <v>2.83443122896729E-2</v>
      </c>
      <c r="S202">
        <f t="shared" si="32"/>
        <v>6.4785836255748768E-4</v>
      </c>
    </row>
    <row r="203" spans="1:19" x14ac:dyDescent="0.2">
      <c r="A203" t="s">
        <v>66</v>
      </c>
      <c r="B203" t="s">
        <v>63</v>
      </c>
      <c r="C203">
        <v>0.37847427556728402</v>
      </c>
      <c r="D203">
        <v>0.14496084440030399</v>
      </c>
      <c r="E203">
        <v>0.49131302275265398</v>
      </c>
      <c r="F203">
        <v>0.43229008109335498</v>
      </c>
      <c r="G203">
        <v>0.25082215868602298</v>
      </c>
      <c r="H203">
        <v>0.29141203869240501</v>
      </c>
      <c r="I203">
        <v>0.32133382617225797</v>
      </c>
      <c r="J203">
        <v>0.30968181866351402</v>
      </c>
      <c r="K203">
        <v>0.29374178081793101</v>
      </c>
      <c r="L203">
        <f t="shared" si="25"/>
        <v>5.452852253537592E-2</v>
      </c>
      <c r="M203">
        <f t="shared" si="26"/>
        <v>1.2732582866363838E-2</v>
      </c>
      <c r="N203">
        <f t="shared" si="27"/>
        <v>2.8961409244198898E-3</v>
      </c>
      <c r="O203">
        <f t="shared" si="28"/>
        <v>1.6295062944267132E-2</v>
      </c>
      <c r="P203">
        <f t="shared" si="29"/>
        <v>7.5798330896575438E-3</v>
      </c>
      <c r="Q203">
        <f t="shared" si="30"/>
        <v>3.2650309570655327E-3</v>
      </c>
      <c r="R203">
        <f t="shared" si="31"/>
        <v>4.7324021268570536E-3</v>
      </c>
      <c r="S203">
        <f t="shared" si="32"/>
        <v>7.1795956664491367E-3</v>
      </c>
    </row>
    <row r="204" spans="1:19" x14ac:dyDescent="0.2">
      <c r="A204" t="s">
        <v>67</v>
      </c>
      <c r="B204" t="s">
        <v>12</v>
      </c>
      <c r="C204">
        <v>0.49888964657763502</v>
      </c>
      <c r="D204">
        <v>0.41038100634761199</v>
      </c>
      <c r="E204">
        <v>0.64196682120067305</v>
      </c>
      <c r="F204">
        <v>0.58548004143427901</v>
      </c>
      <c r="G204">
        <v>0.379802352930662</v>
      </c>
      <c r="H204">
        <v>0.44105346772714499</v>
      </c>
      <c r="I204">
        <v>0.45718908215641502</v>
      </c>
      <c r="J204">
        <v>0.49986521627005498</v>
      </c>
      <c r="K204">
        <v>1.4612262837641501</v>
      </c>
      <c r="L204">
        <f t="shared" si="25"/>
        <v>7.8337793953676509E-3</v>
      </c>
      <c r="M204">
        <f t="shared" si="26"/>
        <v>2.0471077898111319E-2</v>
      </c>
      <c r="N204">
        <f t="shared" si="27"/>
        <v>7.4978964814295182E-3</v>
      </c>
      <c r="O204">
        <f t="shared" si="28"/>
        <v>1.4181783508160378E-2</v>
      </c>
      <c r="P204">
        <f t="shared" si="29"/>
        <v>3.3450235840258701E-3</v>
      </c>
      <c r="Q204">
        <f t="shared" si="30"/>
        <v>1.7389370730483192E-3</v>
      </c>
      <c r="R204">
        <f t="shared" si="31"/>
        <v>9.5173622476838344E-7</v>
      </c>
      <c r="S204">
        <f t="shared" si="32"/>
        <v>0.92609180327145035</v>
      </c>
    </row>
    <row r="205" spans="1:19" x14ac:dyDescent="0.2">
      <c r="A205" t="s">
        <v>67</v>
      </c>
      <c r="B205" t="s">
        <v>14</v>
      </c>
      <c r="C205">
        <v>0.49167822468931999</v>
      </c>
      <c r="D205">
        <v>0.35972118495792799</v>
      </c>
      <c r="E205">
        <v>0.56943100325181395</v>
      </c>
      <c r="F205">
        <v>0.54350129493548804</v>
      </c>
      <c r="G205">
        <v>0.42896224861768001</v>
      </c>
      <c r="H205">
        <v>0.38833701298511197</v>
      </c>
      <c r="I205">
        <v>0.41963594602843401</v>
      </c>
      <c r="J205">
        <v>0.363509021488785</v>
      </c>
      <c r="K205" t="s">
        <v>13</v>
      </c>
      <c r="L205">
        <f t="shared" si="25"/>
        <v>1.7412660334672168E-2</v>
      </c>
      <c r="M205">
        <f t="shared" si="26"/>
        <v>6.0454945741882206E-3</v>
      </c>
      <c r="N205">
        <f t="shared" si="27"/>
        <v>2.6856306097392691E-3</v>
      </c>
      <c r="O205">
        <f t="shared" si="28"/>
        <v>3.9332936546185183E-3</v>
      </c>
      <c r="P205">
        <f t="shared" si="29"/>
        <v>1.0679406036493939E-2</v>
      </c>
      <c r="Q205">
        <f t="shared" si="30"/>
        <v>5.1900899146527461E-3</v>
      </c>
      <c r="R205">
        <f t="shared" si="31"/>
        <v>1.6427344649060028E-2</v>
      </c>
      <c r="S205" t="e">
        <f t="shared" si="32"/>
        <v>#VALUE!</v>
      </c>
    </row>
    <row r="206" spans="1:19" x14ac:dyDescent="0.2">
      <c r="A206" t="s">
        <v>67</v>
      </c>
      <c r="B206" t="s">
        <v>15</v>
      </c>
      <c r="C206">
        <v>0.75160999403385798</v>
      </c>
      <c r="D206">
        <v>0.54986940380952998</v>
      </c>
      <c r="E206">
        <v>0.749327594463715</v>
      </c>
      <c r="F206">
        <v>0.73508024858489696</v>
      </c>
      <c r="G206">
        <v>0.54940291738564395</v>
      </c>
      <c r="H206">
        <v>0.61773443635360403</v>
      </c>
      <c r="I206">
        <v>0.62635178748144504</v>
      </c>
      <c r="J206">
        <v>0.65993084024322501</v>
      </c>
      <c r="K206">
        <v>0.66425321241950797</v>
      </c>
      <c r="L206">
        <f t="shared" si="25"/>
        <v>4.0699265744060228E-2</v>
      </c>
      <c r="M206">
        <f t="shared" si="26"/>
        <v>5.2093477977888552E-6</v>
      </c>
      <c r="N206">
        <f t="shared" si="27"/>
        <v>2.7323248460744753E-4</v>
      </c>
      <c r="O206">
        <f t="shared" si="28"/>
        <v>4.0887701846616699E-2</v>
      </c>
      <c r="P206">
        <f t="shared" si="29"/>
        <v>1.7922664944199002E-2</v>
      </c>
      <c r="Q206">
        <f t="shared" si="30"/>
        <v>1.5689618308726942E-2</v>
      </c>
      <c r="R206">
        <f t="shared" si="31"/>
        <v>8.40506723976653E-3</v>
      </c>
      <c r="S206">
        <f t="shared" si="32"/>
        <v>7.6312072940172395E-3</v>
      </c>
    </row>
    <row r="207" spans="1:19" x14ac:dyDescent="0.2">
      <c r="A207" t="s">
        <v>67</v>
      </c>
      <c r="B207" t="s">
        <v>16</v>
      </c>
      <c r="C207">
        <v>0.72348957991500296</v>
      </c>
      <c r="D207">
        <v>0.61633171648021901</v>
      </c>
      <c r="E207">
        <v>0.73927342318675104</v>
      </c>
      <c r="F207">
        <v>0.761514715470195</v>
      </c>
      <c r="G207">
        <v>0.58973233679402803</v>
      </c>
      <c r="H207">
        <v>0.62368736299468297</v>
      </c>
      <c r="I207">
        <v>0.63449259686336501</v>
      </c>
      <c r="J207">
        <v>0.63037580573470897</v>
      </c>
      <c r="K207" s="1">
        <v>3.94457043546717E+24</v>
      </c>
      <c r="L207">
        <f t="shared" si="25"/>
        <v>1.1482807695907806E-2</v>
      </c>
      <c r="M207">
        <f t="shared" si="26"/>
        <v>2.491297084271074E-4</v>
      </c>
      <c r="N207">
        <f t="shared" si="27"/>
        <v>1.4459109339907304E-3</v>
      </c>
      <c r="O207">
        <f t="shared" si="28"/>
        <v>1.7891000087323593E-2</v>
      </c>
      <c r="P207">
        <f t="shared" si="29"/>
        <v>9.9604825022106044E-3</v>
      </c>
      <c r="Q207">
        <f t="shared" si="30"/>
        <v>7.9204629922935317E-3</v>
      </c>
      <c r="R207">
        <f t="shared" si="31"/>
        <v>8.6701749420987819E-3</v>
      </c>
      <c r="S207">
        <f t="shared" si="32"/>
        <v>1.5559635920361658E+49</v>
      </c>
    </row>
    <row r="208" spans="1:19" x14ac:dyDescent="0.2">
      <c r="A208" t="s">
        <v>67</v>
      </c>
      <c r="B208" t="s">
        <v>17</v>
      </c>
      <c r="C208">
        <v>0.74907640074987103</v>
      </c>
      <c r="D208">
        <v>0.65488286803722895</v>
      </c>
      <c r="E208">
        <v>0.81813785380534199</v>
      </c>
      <c r="F208">
        <v>0.830082925433686</v>
      </c>
      <c r="G208">
        <v>0.67328794521739699</v>
      </c>
      <c r="H208">
        <v>0.72415287089300695</v>
      </c>
      <c r="I208">
        <v>0.49999999310596899</v>
      </c>
      <c r="J208">
        <v>0.75043178110852604</v>
      </c>
      <c r="K208">
        <v>0.73310053799946495</v>
      </c>
      <c r="L208">
        <f t="shared" si="25"/>
        <v>8.8724216048875742E-3</v>
      </c>
      <c r="M208">
        <f t="shared" si="26"/>
        <v>4.7694842981330183E-3</v>
      </c>
      <c r="N208">
        <f t="shared" si="27"/>
        <v>6.562057041349525E-3</v>
      </c>
      <c r="O208">
        <f t="shared" si="28"/>
        <v>5.743889991997795E-3</v>
      </c>
      <c r="P208">
        <f t="shared" si="29"/>
        <v>6.2118234052599517E-4</v>
      </c>
      <c r="Q208">
        <f t="shared" si="30"/>
        <v>6.2039056844791267E-2</v>
      </c>
      <c r="R208">
        <f t="shared" si="31"/>
        <v>1.8370559166277881E-6</v>
      </c>
      <c r="S208">
        <f t="shared" si="32"/>
        <v>2.5522819061981245E-4</v>
      </c>
    </row>
    <row r="209" spans="1:19" x14ac:dyDescent="0.2">
      <c r="A209" t="s">
        <v>67</v>
      </c>
      <c r="B209" t="s">
        <v>18</v>
      </c>
      <c r="C209">
        <v>0.65122476181031097</v>
      </c>
      <c r="D209">
        <v>0.50229932578879899</v>
      </c>
      <c r="E209">
        <v>0.90272648319929805</v>
      </c>
      <c r="F209">
        <v>0.75392223515674495</v>
      </c>
      <c r="G209">
        <v>0.56041469639251396</v>
      </c>
      <c r="H209">
        <v>0.61545712968451505</v>
      </c>
      <c r="I209">
        <v>0.62653059719773596</v>
      </c>
      <c r="J209">
        <v>0.63576257971185401</v>
      </c>
      <c r="K209">
        <v>0.61928666108501296</v>
      </c>
      <c r="L209">
        <f t="shared" si="25"/>
        <v>2.2178785494197457E-2</v>
      </c>
      <c r="M209">
        <f t="shared" si="26"/>
        <v>6.3253115861623674E-2</v>
      </c>
      <c r="N209">
        <f t="shared" si="27"/>
        <v>1.0546771031741517E-2</v>
      </c>
      <c r="O209">
        <f t="shared" si="28"/>
        <v>8.2464679811845732E-3</v>
      </c>
      <c r="P209">
        <f t="shared" si="29"/>
        <v>1.2793235078862686E-3</v>
      </c>
      <c r="Q209">
        <f t="shared" si="30"/>
        <v>6.0980176591295186E-4</v>
      </c>
      <c r="R209">
        <f t="shared" si="31"/>
        <v>2.3907907524584274E-4</v>
      </c>
      <c r="S209">
        <f t="shared" si="32"/>
        <v>1.0200422779392815E-3</v>
      </c>
    </row>
    <row r="210" spans="1:19" x14ac:dyDescent="0.2">
      <c r="A210" t="s">
        <v>67</v>
      </c>
      <c r="B210" t="s">
        <v>19</v>
      </c>
      <c r="C210">
        <v>0.59698725872736902</v>
      </c>
      <c r="D210">
        <v>0.50823470848845298</v>
      </c>
      <c r="E210">
        <v>0.64963687838082895</v>
      </c>
      <c r="F210">
        <v>0.71156443337915698</v>
      </c>
      <c r="G210">
        <v>0.535926822534179</v>
      </c>
      <c r="H210">
        <v>0.50681299517687906</v>
      </c>
      <c r="I210">
        <v>0.52767852401490201</v>
      </c>
      <c r="J210">
        <v>0.498885806630604</v>
      </c>
      <c r="K210" s="1">
        <v>4.6059303395727802E+71</v>
      </c>
      <c r="L210">
        <f t="shared" si="25"/>
        <v>7.8770151739113153E-3</v>
      </c>
      <c r="M210">
        <f t="shared" si="26"/>
        <v>2.7719824496539947E-3</v>
      </c>
      <c r="N210">
        <f t="shared" si="27"/>
        <v>1.3127928951186321E-2</v>
      </c>
      <c r="O210">
        <f t="shared" si="28"/>
        <v>3.7283768681026291E-3</v>
      </c>
      <c r="P210">
        <f t="shared" si="29"/>
        <v>8.131397806873223E-3</v>
      </c>
      <c r="Q210">
        <f t="shared" si="30"/>
        <v>4.8037007074431303E-3</v>
      </c>
      <c r="R210">
        <f t="shared" si="31"/>
        <v>9.6238949034938813E-3</v>
      </c>
      <c r="S210">
        <f t="shared" si="32"/>
        <v>2.1214594292997026E+143</v>
      </c>
    </row>
    <row r="211" spans="1:19" x14ac:dyDescent="0.2">
      <c r="A211" t="s">
        <v>67</v>
      </c>
      <c r="B211" t="s">
        <v>20</v>
      </c>
      <c r="C211">
        <v>0.53992833375848104</v>
      </c>
      <c r="D211">
        <v>0.31725108779505101</v>
      </c>
      <c r="E211">
        <v>0.65001152060274503</v>
      </c>
      <c r="F211">
        <v>0.59776734798472797</v>
      </c>
      <c r="G211">
        <v>0.47277149735553697</v>
      </c>
      <c r="H211">
        <v>0.33478369347972797</v>
      </c>
      <c r="I211">
        <v>0.387942577188926</v>
      </c>
      <c r="J211">
        <v>0.21191210061101601</v>
      </c>
      <c r="K211">
        <v>0.47277268381757898</v>
      </c>
      <c r="L211">
        <f t="shared" si="25"/>
        <v>4.9585155869857914E-2</v>
      </c>
      <c r="M211">
        <f t="shared" si="26"/>
        <v>1.2118308025789136E-2</v>
      </c>
      <c r="N211">
        <f t="shared" si="27"/>
        <v>3.3453515666639951E-3</v>
      </c>
      <c r="O211">
        <f t="shared" si="28"/>
        <v>4.5100406756517931E-3</v>
      </c>
      <c r="P211">
        <f t="shared" si="29"/>
        <v>4.2084323435098991E-2</v>
      </c>
      <c r="Q211">
        <f t="shared" si="30"/>
        <v>2.3099670200020045E-2</v>
      </c>
      <c r="R211">
        <f t="shared" si="31"/>
        <v>0.10759464920825214</v>
      </c>
      <c r="S211">
        <f t="shared" si="32"/>
        <v>4.5098813189849794E-3</v>
      </c>
    </row>
    <row r="212" spans="1:19" x14ac:dyDescent="0.2">
      <c r="A212" t="s">
        <v>67</v>
      </c>
      <c r="B212" t="s">
        <v>21</v>
      </c>
      <c r="C212">
        <v>0.92763157894736803</v>
      </c>
      <c r="D212">
        <v>0.89724310774238203</v>
      </c>
      <c r="E212">
        <v>0.95603175098418702</v>
      </c>
      <c r="F212">
        <v>0.96498200857134298</v>
      </c>
      <c r="G212">
        <v>0.90384033612236303</v>
      </c>
      <c r="H212">
        <v>0.82461199188817702</v>
      </c>
      <c r="I212">
        <v>0.49999984499646</v>
      </c>
      <c r="J212">
        <v>0.75326179274285698</v>
      </c>
      <c r="K212">
        <v>0.90391079400255803</v>
      </c>
      <c r="L212">
        <f t="shared" si="25"/>
        <v>9.2345918217626329E-4</v>
      </c>
      <c r="M212">
        <f t="shared" si="26"/>
        <v>8.0656977172091551E-4</v>
      </c>
      <c r="N212">
        <f t="shared" si="27"/>
        <v>1.3950545930955052E-3</v>
      </c>
      <c r="O212">
        <f t="shared" si="28"/>
        <v>5.660232351583518E-4</v>
      </c>
      <c r="P212">
        <f t="shared" si="29"/>
        <v>1.0613035317846235E-2</v>
      </c>
      <c r="Q212">
        <f t="shared" si="30"/>
        <v>0.1828688998818602</v>
      </c>
      <c r="R212">
        <f t="shared" si="31"/>
        <v>3.0404822341006891E-2</v>
      </c>
      <c r="S212">
        <f t="shared" si="32"/>
        <v>5.6267563839792491E-4</v>
      </c>
    </row>
    <row r="213" spans="1:19" x14ac:dyDescent="0.2">
      <c r="A213" t="s">
        <v>67</v>
      </c>
      <c r="B213" t="s">
        <v>22</v>
      </c>
      <c r="C213">
        <v>0.78913399806669704</v>
      </c>
      <c r="D213">
        <v>0.67581525027813205</v>
      </c>
      <c r="E213">
        <v>0.80490686387758803</v>
      </c>
      <c r="F213">
        <v>0.81605508449362396</v>
      </c>
      <c r="G213">
        <v>0.65271835340935902</v>
      </c>
      <c r="H213">
        <v>0.645991461091877</v>
      </c>
      <c r="I213">
        <v>0.65636150421835204</v>
      </c>
      <c r="J213">
        <v>0.66250583745867897</v>
      </c>
      <c r="K213" s="1">
        <v>4.44548584584159E+22</v>
      </c>
      <c r="L213">
        <f t="shared" si="25"/>
        <v>1.2841138600368403E-2</v>
      </c>
      <c r="M213">
        <f t="shared" si="26"/>
        <v>2.4878329588837389E-4</v>
      </c>
      <c r="N213">
        <f t="shared" si="27"/>
        <v>7.2474489440606889E-4</v>
      </c>
      <c r="O213">
        <f t="shared" si="28"/>
        <v>1.8609228107277116E-2</v>
      </c>
      <c r="P213">
        <f t="shared" si="29"/>
        <v>2.0489785891587724E-2</v>
      </c>
      <c r="Q213">
        <f t="shared" si="30"/>
        <v>1.7628535122708809E-2</v>
      </c>
      <c r="R213">
        <f t="shared" si="31"/>
        <v>1.603469105897002E-2</v>
      </c>
      <c r="S213">
        <f t="shared" si="32"/>
        <v>1.9762344405577918E+45</v>
      </c>
    </row>
    <row r="214" spans="1:19" x14ac:dyDescent="0.2">
      <c r="A214" t="s">
        <v>67</v>
      </c>
      <c r="B214" t="s">
        <v>23</v>
      </c>
      <c r="C214">
        <v>0.78041163569209504</v>
      </c>
      <c r="D214">
        <v>0.75679510055932298</v>
      </c>
      <c r="E214">
        <v>0.97654256099092496</v>
      </c>
      <c r="F214">
        <v>0.84058469914130496</v>
      </c>
      <c r="G214">
        <v>0.67770730407010005</v>
      </c>
      <c r="H214">
        <v>0.68684567206937197</v>
      </c>
      <c r="I214">
        <v>0.69360822847432102</v>
      </c>
      <c r="J214">
        <v>0.71567779432706202</v>
      </c>
      <c r="K214">
        <v>15.5795587051957</v>
      </c>
      <c r="L214">
        <f t="shared" si="25"/>
        <v>5.5774073167745727E-4</v>
      </c>
      <c r="M214">
        <f t="shared" si="26"/>
        <v>3.84673398585752E-2</v>
      </c>
      <c r="N214">
        <f t="shared" si="27"/>
        <v>3.6207975648626426E-3</v>
      </c>
      <c r="O214">
        <f t="shared" si="28"/>
        <v>1.0548179733920721E-2</v>
      </c>
      <c r="P214">
        <f t="shared" si="29"/>
        <v>8.7545895486487359E-3</v>
      </c>
      <c r="Q214">
        <f t="shared" si="30"/>
        <v>7.534831504614703E-3</v>
      </c>
      <c r="R214">
        <f t="shared" si="31"/>
        <v>4.1904702178732602E-3</v>
      </c>
      <c r="S214">
        <f t="shared" si="32"/>
        <v>219.01475398479712</v>
      </c>
    </row>
    <row r="215" spans="1:19" x14ac:dyDescent="0.2">
      <c r="A215" t="s">
        <v>67</v>
      </c>
      <c r="B215" t="s">
        <v>24</v>
      </c>
      <c r="C215">
        <v>0.92352291552126897</v>
      </c>
      <c r="D215">
        <v>0.87550872248939304</v>
      </c>
      <c r="E215">
        <v>0.93455509047320595</v>
      </c>
      <c r="F215">
        <v>0.95730535023441998</v>
      </c>
      <c r="G215">
        <v>0.89476741517931802</v>
      </c>
      <c r="H215">
        <v>0.89208148041637003</v>
      </c>
      <c r="I215">
        <v>0.49999997997761902</v>
      </c>
      <c r="J215">
        <v>0.88279694639056105</v>
      </c>
      <c r="K215">
        <v>0.89494534650258095</v>
      </c>
      <c r="L215">
        <f t="shared" si="25"/>
        <v>2.3053627325022429E-3</v>
      </c>
      <c r="M215">
        <f t="shared" si="26"/>
        <v>1.2170888417014569E-4</v>
      </c>
      <c r="N215">
        <f t="shared" si="27"/>
        <v>1.1412528951483104E-3</v>
      </c>
      <c r="O215">
        <f t="shared" si="28"/>
        <v>8.2687879991594161E-4</v>
      </c>
      <c r="P215">
        <f t="shared" si="29"/>
        <v>9.8856384145557148E-4</v>
      </c>
      <c r="Q215">
        <f t="shared" si="30"/>
        <v>0.17937167693151068</v>
      </c>
      <c r="R215">
        <f t="shared" si="31"/>
        <v>1.6586045616353742E-3</v>
      </c>
      <c r="S215">
        <f t="shared" si="32"/>
        <v>8.1667745101787737E-4</v>
      </c>
    </row>
    <row r="216" spans="1:19" x14ac:dyDescent="0.2">
      <c r="A216" t="s">
        <v>67</v>
      </c>
      <c r="B216" t="s">
        <v>25</v>
      </c>
      <c r="C216">
        <v>0.48286273869980501</v>
      </c>
      <c r="D216">
        <v>0.30442537712689</v>
      </c>
      <c r="E216">
        <v>1</v>
      </c>
      <c r="F216">
        <v>0.56104168658640996</v>
      </c>
      <c r="G216">
        <v>0.390620068963353</v>
      </c>
      <c r="H216">
        <v>0.34087375955829802</v>
      </c>
      <c r="I216">
        <v>0.37721422592049098</v>
      </c>
      <c r="J216">
        <v>0.30884256651282799</v>
      </c>
      <c r="K216">
        <v>0.39062298026001002</v>
      </c>
      <c r="L216">
        <f t="shared" si="25"/>
        <v>3.1839892005103204E-2</v>
      </c>
      <c r="M216">
        <f t="shared" si="26"/>
        <v>0.26743094702506615</v>
      </c>
      <c r="N216">
        <f t="shared" si="27"/>
        <v>6.1119478926564934E-3</v>
      </c>
      <c r="O216">
        <f t="shared" si="28"/>
        <v>8.5087101201081587E-3</v>
      </c>
      <c r="P216">
        <f t="shared" si="29"/>
        <v>2.0160870197647306E-2</v>
      </c>
      <c r="Q216">
        <f t="shared" si="30"/>
        <v>1.116160825248088E-2</v>
      </c>
      <c r="R216">
        <f t="shared" si="31"/>
        <v>3.0283020327985129E-2</v>
      </c>
      <c r="S216">
        <f t="shared" si="32"/>
        <v>8.5081730370317292E-3</v>
      </c>
    </row>
    <row r="217" spans="1:19" x14ac:dyDescent="0.2">
      <c r="A217" t="s">
        <v>67</v>
      </c>
      <c r="B217" t="s">
        <v>26</v>
      </c>
      <c r="C217">
        <v>0.71223649327473104</v>
      </c>
      <c r="D217">
        <v>0.63959432956299</v>
      </c>
      <c r="E217">
        <v>0.82106365357335498</v>
      </c>
      <c r="F217">
        <v>0.86039889275783799</v>
      </c>
      <c r="G217">
        <v>0.72172396995242205</v>
      </c>
      <c r="H217">
        <v>0.705336733513378</v>
      </c>
      <c r="I217">
        <v>0.49999986228681398</v>
      </c>
      <c r="J217">
        <v>0.68202180198512197</v>
      </c>
      <c r="K217">
        <v>0.72281456782539999</v>
      </c>
      <c r="L217">
        <f t="shared" si="25"/>
        <v>5.2768839487233868E-3</v>
      </c>
      <c r="M217">
        <f t="shared" si="26"/>
        <v>1.184335081866239E-2</v>
      </c>
      <c r="N217">
        <f t="shared" si="27"/>
        <v>2.195209662059177E-2</v>
      </c>
      <c r="O217">
        <f t="shared" si="28"/>
        <v>9.0012213709730825E-5</v>
      </c>
      <c r="P217">
        <f t="shared" si="29"/>
        <v>4.7606684764386583E-5</v>
      </c>
      <c r="Q217">
        <f t="shared" si="30"/>
        <v>4.5044387533101277E-2</v>
      </c>
      <c r="R217">
        <f t="shared" si="31"/>
        <v>9.129275697263785E-4</v>
      </c>
      <c r="S217">
        <f t="shared" si="32"/>
        <v>1.1189566119951006E-4</v>
      </c>
    </row>
    <row r="218" spans="1:19" x14ac:dyDescent="0.2">
      <c r="A218" t="s">
        <v>67</v>
      </c>
      <c r="B218" t="s">
        <v>27</v>
      </c>
      <c r="C218">
        <v>0.467245133903472</v>
      </c>
      <c r="D218">
        <v>0.37023940819930601</v>
      </c>
      <c r="E218">
        <v>0.70909633083566503</v>
      </c>
      <c r="F218">
        <v>0.57197257849701399</v>
      </c>
      <c r="G218">
        <v>0.40082143358852002</v>
      </c>
      <c r="H218">
        <v>0.423060913609481</v>
      </c>
      <c r="I218">
        <v>0.44510208726316403</v>
      </c>
      <c r="J218">
        <v>0.45059239948896601</v>
      </c>
      <c r="K218">
        <v>0.79002307261551297</v>
      </c>
      <c r="L218">
        <f t="shared" si="25"/>
        <v>9.4101108193918905E-3</v>
      </c>
      <c r="M218">
        <f t="shared" si="26"/>
        <v>5.8492001457534415E-2</v>
      </c>
      <c r="N218">
        <f t="shared" si="27"/>
        <v>1.0967837651093409E-2</v>
      </c>
      <c r="O218">
        <f t="shared" si="28"/>
        <v>4.4121079635305524E-3</v>
      </c>
      <c r="P218">
        <f t="shared" si="29"/>
        <v>1.9522453229879257E-3</v>
      </c>
      <c r="Q218">
        <f t="shared" si="30"/>
        <v>4.9031451451485417E-4</v>
      </c>
      <c r="R218">
        <f t="shared" si="31"/>
        <v>2.7731356348007207E-4</v>
      </c>
      <c r="S218">
        <f t="shared" si="32"/>
        <v>0.10418559771919407</v>
      </c>
    </row>
    <row r="219" spans="1:19" x14ac:dyDescent="0.2">
      <c r="A219" t="s">
        <v>67</v>
      </c>
      <c r="B219" t="s">
        <v>28</v>
      </c>
      <c r="C219">
        <v>0.64740368512795099</v>
      </c>
      <c r="D219">
        <v>0.40676201518953597</v>
      </c>
      <c r="E219">
        <v>0.63264162931141399</v>
      </c>
      <c r="F219">
        <v>0.58950559433715399</v>
      </c>
      <c r="G219">
        <v>0.41774582999870202</v>
      </c>
      <c r="H219">
        <v>0.45614706797739502</v>
      </c>
      <c r="I219">
        <v>0.47627936054202202</v>
      </c>
      <c r="J219">
        <v>0.48012767140739998</v>
      </c>
      <c r="K219">
        <v>3.23331544173144</v>
      </c>
      <c r="L219">
        <f t="shared" si="25"/>
        <v>5.7908413310749071E-2</v>
      </c>
      <c r="M219">
        <f t="shared" si="26"/>
        <v>2.1791829193055389E-4</v>
      </c>
      <c r="N219">
        <f t="shared" si="27"/>
        <v>3.3521889172193719E-3</v>
      </c>
      <c r="O219">
        <f t="shared" si="28"/>
        <v>5.2742730422567108E-2</v>
      </c>
      <c r="P219">
        <f t="shared" si="29"/>
        <v>3.6579093603874339E-2</v>
      </c>
      <c r="Q219">
        <f t="shared" si="30"/>
        <v>2.9283534464990373E-2</v>
      </c>
      <c r="R219">
        <f t="shared" si="31"/>
        <v>2.7981264766237968E-2</v>
      </c>
      <c r="S219">
        <f t="shared" si="32"/>
        <v>6.6869396129401419</v>
      </c>
    </row>
    <row r="220" spans="1:19" x14ac:dyDescent="0.2">
      <c r="A220" t="s">
        <v>67</v>
      </c>
      <c r="B220" t="s">
        <v>29</v>
      </c>
      <c r="C220">
        <v>0.41467938525876202</v>
      </c>
      <c r="D220">
        <v>2.5512084935744399E-2</v>
      </c>
      <c r="E220">
        <v>0.82074950692863902</v>
      </c>
      <c r="F220">
        <v>0.48922208406220702</v>
      </c>
      <c r="G220">
        <v>0.27307760443309997</v>
      </c>
      <c r="H220">
        <v>0.32674068268044898</v>
      </c>
      <c r="I220">
        <v>0.356257019699461</v>
      </c>
      <c r="J220">
        <v>0.35218770805028599</v>
      </c>
      <c r="K220">
        <v>0.33159263146802098</v>
      </c>
      <c r="L220">
        <f t="shared" si="25"/>
        <v>0.15145118764070578</v>
      </c>
      <c r="M220">
        <f t="shared" si="26"/>
        <v>0.16489294371298871</v>
      </c>
      <c r="N220">
        <f t="shared" si="27"/>
        <v>5.5566139449011202E-3</v>
      </c>
      <c r="O220">
        <f t="shared" si="28"/>
        <v>2.0051064332998834E-2</v>
      </c>
      <c r="P220">
        <f t="shared" si="29"/>
        <v>7.7332154111570016E-3</v>
      </c>
      <c r="Q220">
        <f t="shared" si="30"/>
        <v>3.4131727975446027E-3</v>
      </c>
      <c r="R220">
        <f t="shared" si="31"/>
        <v>3.9052097203283636E-3</v>
      </c>
      <c r="S220">
        <f t="shared" si="32"/>
        <v>6.9034086554832204E-3</v>
      </c>
    </row>
    <row r="221" spans="1:19" x14ac:dyDescent="0.2">
      <c r="A221" t="s">
        <v>67</v>
      </c>
      <c r="B221" t="s">
        <v>30</v>
      </c>
      <c r="C221">
        <v>0.67095971034354396</v>
      </c>
      <c r="D221">
        <v>0.52889621138242204</v>
      </c>
      <c r="E221">
        <v>0.83301828593775695</v>
      </c>
      <c r="F221">
        <v>0.760574229759164</v>
      </c>
      <c r="G221">
        <v>0.57125443744590498</v>
      </c>
      <c r="H221">
        <v>0.54881708092780501</v>
      </c>
      <c r="I221">
        <v>0.56860085520952597</v>
      </c>
      <c r="J221">
        <v>0.52281251877667201</v>
      </c>
      <c r="K221">
        <v>0.57130712235167003</v>
      </c>
      <c r="L221">
        <f t="shared" si="25"/>
        <v>2.0182037737076688E-2</v>
      </c>
      <c r="M221">
        <f t="shared" si="26"/>
        <v>2.6262981923625247E-2</v>
      </c>
      <c r="N221">
        <f t="shared" si="27"/>
        <v>8.0307620900925414E-3</v>
      </c>
      <c r="O221">
        <f t="shared" si="28"/>
        <v>9.9411414435926614E-3</v>
      </c>
      <c r="P221">
        <f t="shared" si="29"/>
        <v>1.4918821920590537E-2</v>
      </c>
      <c r="Q221">
        <f t="shared" si="30"/>
        <v>1.047733522434688E-2</v>
      </c>
      <c r="R221">
        <f t="shared" si="31"/>
        <v>2.1947590369151455E-2</v>
      </c>
      <c r="S221">
        <f t="shared" si="32"/>
        <v>9.9306382934781761E-3</v>
      </c>
    </row>
    <row r="222" spans="1:19" x14ac:dyDescent="0.2">
      <c r="A222" t="s">
        <v>67</v>
      </c>
      <c r="B222" t="s">
        <v>31</v>
      </c>
      <c r="C222">
        <v>0.68621353986189904</v>
      </c>
      <c r="D222">
        <v>0.63537915553856905</v>
      </c>
      <c r="E222">
        <v>0.77412561418200099</v>
      </c>
      <c r="F222">
        <v>0.76569376716522597</v>
      </c>
      <c r="G222">
        <v>0.58933454003997099</v>
      </c>
      <c r="H222">
        <v>0.65332430788177498</v>
      </c>
      <c r="I222">
        <v>0.66024257427868305</v>
      </c>
      <c r="J222">
        <v>0.69668516339192399</v>
      </c>
      <c r="K222">
        <v>0.77815502788706503</v>
      </c>
      <c r="L222">
        <f t="shared" si="25"/>
        <v>2.5841346295320173E-3</v>
      </c>
      <c r="M222">
        <f t="shared" si="26"/>
        <v>7.7285328112631294E-3</v>
      </c>
      <c r="N222">
        <f t="shared" si="27"/>
        <v>6.3171065321885158E-3</v>
      </c>
      <c r="O222">
        <f t="shared" si="28"/>
        <v>9.385540606497135E-3</v>
      </c>
      <c r="P222">
        <f t="shared" si="29"/>
        <v>1.0817015802424149E-3</v>
      </c>
      <c r="Q222">
        <f t="shared" si="30"/>
        <v>6.7449105332458936E-4</v>
      </c>
      <c r="R222">
        <f t="shared" si="31"/>
        <v>1.0965489935457228E-4</v>
      </c>
      <c r="S222">
        <f t="shared" si="32"/>
        <v>8.4532372202817431E-3</v>
      </c>
    </row>
    <row r="223" spans="1:19" x14ac:dyDescent="0.2">
      <c r="A223" t="s">
        <v>67</v>
      </c>
      <c r="B223" t="s">
        <v>32</v>
      </c>
      <c r="C223">
        <v>0.35802055408648598</v>
      </c>
      <c r="D223">
        <v>0.258576606093739</v>
      </c>
      <c r="E223">
        <v>0.56258665419875198</v>
      </c>
      <c r="F223">
        <v>0.53527836018618202</v>
      </c>
      <c r="G223">
        <v>0.44877426828484102</v>
      </c>
      <c r="H223">
        <v>0.26817271523021802</v>
      </c>
      <c r="I223">
        <v>0.327881849733549</v>
      </c>
      <c r="J223">
        <v>0.15806552633693699</v>
      </c>
      <c r="K223">
        <v>0.44878863485138298</v>
      </c>
      <c r="L223">
        <f t="shared" si="25"/>
        <v>9.8890987923841642E-3</v>
      </c>
      <c r="M223">
        <f t="shared" si="26"/>
        <v>4.1847289315141638E-2</v>
      </c>
      <c r="N223">
        <f t="shared" si="27"/>
        <v>3.1420329823277443E-2</v>
      </c>
      <c r="O223">
        <f t="shared" si="28"/>
        <v>8.2362366407967083E-3</v>
      </c>
      <c r="P223">
        <f t="shared" si="29"/>
        <v>8.0726341471418946E-3</v>
      </c>
      <c r="Q223">
        <f t="shared" si="30"/>
        <v>9.0834150007374208E-4</v>
      </c>
      <c r="R223">
        <f t="shared" si="31"/>
        <v>3.9982013122322906E-2</v>
      </c>
      <c r="S223">
        <f t="shared" si="32"/>
        <v>8.2388444857428664E-3</v>
      </c>
    </row>
    <row r="224" spans="1:19" x14ac:dyDescent="0.2">
      <c r="A224" t="s">
        <v>67</v>
      </c>
      <c r="B224" t="s">
        <v>33</v>
      </c>
      <c r="C224">
        <v>0.79668180827326496</v>
      </c>
      <c r="D224">
        <v>0.67348187118448199</v>
      </c>
      <c r="E224">
        <v>0.82733810246745398</v>
      </c>
      <c r="F224">
        <v>0.84958544841092798</v>
      </c>
      <c r="G224">
        <v>0.697610843689355</v>
      </c>
      <c r="H224">
        <v>0.69337594069505604</v>
      </c>
      <c r="I224">
        <v>0.49999998402196699</v>
      </c>
      <c r="J224">
        <v>0.68367553077600096</v>
      </c>
      <c r="K224">
        <v>0.69791265027744298</v>
      </c>
      <c r="L224">
        <f t="shared" si="25"/>
        <v>1.517822449868008E-2</v>
      </c>
      <c r="M224">
        <f t="shared" si="26"/>
        <v>9.3980837372066779E-4</v>
      </c>
      <c r="N224">
        <f t="shared" si="27"/>
        <v>2.79879513981535E-3</v>
      </c>
      <c r="O224">
        <f t="shared" si="28"/>
        <v>9.815056023586342E-3</v>
      </c>
      <c r="P224">
        <f t="shared" si="29"/>
        <v>1.0672102276086438E-2</v>
      </c>
      <c r="Q224">
        <f t="shared" si="30"/>
        <v>8.8020104841078056E-2</v>
      </c>
      <c r="R224">
        <f t="shared" si="31"/>
        <v>1.2770418753788634E-2</v>
      </c>
      <c r="S224">
        <f t="shared" si="32"/>
        <v>9.755346571203645E-3</v>
      </c>
    </row>
    <row r="225" spans="1:19" x14ac:dyDescent="0.2">
      <c r="A225" t="s">
        <v>67</v>
      </c>
      <c r="B225" t="s">
        <v>34</v>
      </c>
      <c r="C225">
        <v>0.69953179298116597</v>
      </c>
      <c r="D225">
        <v>0.56968882675986998</v>
      </c>
      <c r="E225">
        <v>0.78118585916028305</v>
      </c>
      <c r="F225">
        <v>0.814346088755588</v>
      </c>
      <c r="G225">
        <v>0.64870134396475698</v>
      </c>
      <c r="H225">
        <v>0.60042916394283596</v>
      </c>
      <c r="I225">
        <v>0.61754188390988995</v>
      </c>
      <c r="J225">
        <v>0.56848773126446395</v>
      </c>
      <c r="K225">
        <v>0.64912351782595901</v>
      </c>
      <c r="L225">
        <f t="shared" si="25"/>
        <v>1.6859195877144611E-2</v>
      </c>
      <c r="M225">
        <f t="shared" si="26"/>
        <v>6.6673865235836322E-3</v>
      </c>
      <c r="N225">
        <f t="shared" si="27"/>
        <v>1.3182322514176467E-2</v>
      </c>
      <c r="O225">
        <f t="shared" si="28"/>
        <v>2.5837345472097531E-3</v>
      </c>
      <c r="P225">
        <f t="shared" si="29"/>
        <v>9.8213310823088498E-3</v>
      </c>
      <c r="Q225">
        <f t="shared" si="30"/>
        <v>6.7223451895161088E-3</v>
      </c>
      <c r="R225">
        <f t="shared" si="31"/>
        <v>1.7172546111210808E-2</v>
      </c>
      <c r="S225">
        <f t="shared" si="32"/>
        <v>2.5409942041230552E-3</v>
      </c>
    </row>
    <row r="226" spans="1:19" x14ac:dyDescent="0.2">
      <c r="A226" t="s">
        <v>67</v>
      </c>
      <c r="B226" t="s">
        <v>35</v>
      </c>
      <c r="C226">
        <v>0.63609434301738699</v>
      </c>
      <c r="D226">
        <v>0.497294197827788</v>
      </c>
      <c r="E226">
        <v>0.75800489023561701</v>
      </c>
      <c r="F226">
        <v>0.71787788589694301</v>
      </c>
      <c r="G226">
        <v>0.53350803192093099</v>
      </c>
      <c r="H226">
        <v>0.52559963713208402</v>
      </c>
      <c r="I226">
        <v>0.545488586086876</v>
      </c>
      <c r="J226">
        <v>0.52080269206083196</v>
      </c>
      <c r="K226" t="s">
        <v>13</v>
      </c>
      <c r="L226">
        <f t="shared" si="25"/>
        <v>1.9265480304653759E-2</v>
      </c>
      <c r="M226">
        <f t="shared" si="26"/>
        <v>1.4862181523048293E-2</v>
      </c>
      <c r="N226">
        <f t="shared" si="27"/>
        <v>6.6885478859321787E-3</v>
      </c>
      <c r="O226">
        <f t="shared" si="28"/>
        <v>1.0523951224378851E-2</v>
      </c>
      <c r="P226">
        <f t="shared" si="29"/>
        <v>1.2209080028679606E-2</v>
      </c>
      <c r="Q226">
        <f t="shared" si="30"/>
        <v>8.2094031889508399E-3</v>
      </c>
      <c r="R226">
        <f t="shared" si="31"/>
        <v>1.3292164780288116E-2</v>
      </c>
      <c r="S226" t="e">
        <f t="shared" si="32"/>
        <v>#VALUE!</v>
      </c>
    </row>
    <row r="227" spans="1:19" x14ac:dyDescent="0.2">
      <c r="A227" t="s">
        <v>67</v>
      </c>
      <c r="B227" t="s">
        <v>36</v>
      </c>
      <c r="C227">
        <v>0.75156776410724702</v>
      </c>
      <c r="D227">
        <v>0.68484661978983896</v>
      </c>
      <c r="E227">
        <v>0.82912210463388203</v>
      </c>
      <c r="F227">
        <v>0.83214215450638196</v>
      </c>
      <c r="G227">
        <v>0.68761902116981699</v>
      </c>
      <c r="H227">
        <v>0.75476831640449205</v>
      </c>
      <c r="I227">
        <v>0.499999969616583</v>
      </c>
      <c r="J227">
        <v>0.79869472234629202</v>
      </c>
      <c r="K227">
        <v>0.96544654277167397</v>
      </c>
      <c r="L227">
        <f t="shared" si="25"/>
        <v>4.4517110990243934E-3</v>
      </c>
      <c r="M227">
        <f t="shared" si="26"/>
        <v>6.0146757345212621E-3</v>
      </c>
      <c r="N227">
        <f t="shared" si="27"/>
        <v>6.492232388192209E-3</v>
      </c>
      <c r="O227">
        <f t="shared" si="28"/>
        <v>4.0894417232775065E-3</v>
      </c>
      <c r="P227">
        <f t="shared" si="29"/>
        <v>1.0243535007400436E-5</v>
      </c>
      <c r="Q227">
        <f t="shared" si="30"/>
        <v>6.3286355224896965E-2</v>
      </c>
      <c r="R227">
        <f t="shared" si="31"/>
        <v>2.2209501928646918E-3</v>
      </c>
      <c r="S227">
        <f t="shared" si="32"/>
        <v>4.5744131962986934E-2</v>
      </c>
    </row>
    <row r="228" spans="1:19" x14ac:dyDescent="0.2">
      <c r="A228" t="s">
        <v>67</v>
      </c>
      <c r="B228" t="s">
        <v>37</v>
      </c>
      <c r="C228">
        <v>0.47664472686774101</v>
      </c>
      <c r="D228">
        <v>0.31227927809505301</v>
      </c>
      <c r="E228">
        <v>0.60216350312875899</v>
      </c>
      <c r="F228">
        <v>0.51521375450511098</v>
      </c>
      <c r="G228">
        <v>0.32903204690485</v>
      </c>
      <c r="H228">
        <v>0.36590088143911698</v>
      </c>
      <c r="I228">
        <v>0.38826144638263899</v>
      </c>
      <c r="J228">
        <v>0.40623259719018001</v>
      </c>
      <c r="K228">
        <v>13208.424554699201</v>
      </c>
      <c r="L228">
        <f t="shared" si="25"/>
        <v>2.701600075024712E-2</v>
      </c>
      <c r="M228">
        <f t="shared" si="26"/>
        <v>1.5754963194063491E-2</v>
      </c>
      <c r="N228">
        <f t="shared" si="27"/>
        <v>1.4875698928922085E-3</v>
      </c>
      <c r="O228">
        <f t="shared" si="28"/>
        <v>2.1789503285826885E-2</v>
      </c>
      <c r="P228">
        <f t="shared" si="29"/>
        <v>1.2264199300318973E-2</v>
      </c>
      <c r="Q228">
        <f t="shared" si="30"/>
        <v>7.8116042693082161E-3</v>
      </c>
      <c r="R228">
        <f t="shared" si="31"/>
        <v>4.9578680057296666E-3</v>
      </c>
      <c r="S228">
        <f t="shared" si="32"/>
        <v>174449887.99254251</v>
      </c>
    </row>
    <row r="229" spans="1:19" x14ac:dyDescent="0.2">
      <c r="A229" t="s">
        <v>67</v>
      </c>
      <c r="B229" t="s">
        <v>38</v>
      </c>
      <c r="C229">
        <v>0.62960138792457598</v>
      </c>
      <c r="D229">
        <v>0.50067234981980202</v>
      </c>
      <c r="E229">
        <v>0.87057908759751401</v>
      </c>
      <c r="F229">
        <v>0.71411476387302497</v>
      </c>
      <c r="G229">
        <v>0.52215805219005595</v>
      </c>
      <c r="H229">
        <v>0.59557443088484996</v>
      </c>
      <c r="I229">
        <v>0.60420819761398803</v>
      </c>
      <c r="J229">
        <v>0.64759388061035195</v>
      </c>
      <c r="K229">
        <v>0.74806405674676402</v>
      </c>
      <c r="L229">
        <f t="shared" si="25"/>
        <v>1.6622696866622256E-2</v>
      </c>
      <c r="M229">
        <f t="shared" si="26"/>
        <v>5.8070251739660718E-2</v>
      </c>
      <c r="N229">
        <f t="shared" si="27"/>
        <v>7.1425107142038761E-3</v>
      </c>
      <c r="O229">
        <f t="shared" si="28"/>
        <v>1.1544070393760788E-2</v>
      </c>
      <c r="P229">
        <f t="shared" si="29"/>
        <v>1.1578338053833605E-3</v>
      </c>
      <c r="Q229">
        <f t="shared" si="30"/>
        <v>6.4481411414973801E-4</v>
      </c>
      <c r="R229">
        <f t="shared" si="31"/>
        <v>3.2372979304770149E-4</v>
      </c>
      <c r="S229">
        <f t="shared" si="32"/>
        <v>1.4033403904475401E-2</v>
      </c>
    </row>
    <row r="230" spans="1:19" x14ac:dyDescent="0.2">
      <c r="A230" t="s">
        <v>67</v>
      </c>
      <c r="B230" t="s">
        <v>39</v>
      </c>
      <c r="C230">
        <v>0.177848497561442</v>
      </c>
      <c r="D230">
        <v>2.2148105447837199E-2</v>
      </c>
      <c r="E230">
        <v>0.36278818094406301</v>
      </c>
      <c r="F230">
        <v>0.28768897890683498</v>
      </c>
      <c r="G230">
        <v>0.27044101790945801</v>
      </c>
      <c r="H230">
        <v>0.14124370634185199</v>
      </c>
      <c r="I230">
        <v>0.20478446814048801</v>
      </c>
      <c r="J230">
        <v>6.8847234385367606E-2</v>
      </c>
      <c r="K230">
        <v>0.27594818452339198</v>
      </c>
      <c r="L230">
        <f t="shared" si="25"/>
        <v>2.4242612104330291E-2</v>
      </c>
      <c r="M230">
        <f t="shared" si="26"/>
        <v>3.4202686489664104E-2</v>
      </c>
      <c r="N230">
        <f t="shared" si="27"/>
        <v>1.2064931342187623E-2</v>
      </c>
      <c r="O230">
        <f t="shared" si="28"/>
        <v>8.5733748243977601E-3</v>
      </c>
      <c r="P230">
        <f t="shared" si="29"/>
        <v>1.3399107402297739E-3</v>
      </c>
      <c r="Q230">
        <f t="shared" si="30"/>
        <v>7.2554651103523223E-4</v>
      </c>
      <c r="R230">
        <f t="shared" si="31"/>
        <v>1.1881275373979832E-2</v>
      </c>
      <c r="S230">
        <f t="shared" si="32"/>
        <v>9.6235485820325792E-3</v>
      </c>
    </row>
    <row r="231" spans="1:19" x14ac:dyDescent="0.2">
      <c r="A231" t="s">
        <v>67</v>
      </c>
      <c r="B231" t="s">
        <v>40</v>
      </c>
      <c r="C231">
        <v>0.64675615211846904</v>
      </c>
      <c r="D231">
        <v>0.52828379672179404</v>
      </c>
      <c r="E231">
        <v>0.77843808462722297</v>
      </c>
      <c r="F231">
        <v>0.73210097757989001</v>
      </c>
      <c r="G231">
        <v>0.51090263325989405</v>
      </c>
      <c r="H231">
        <v>0.65199647884599099</v>
      </c>
      <c r="I231">
        <v>0.65607983019915395</v>
      </c>
      <c r="J231">
        <v>0.713032029229276</v>
      </c>
      <c r="K231">
        <v>0.72759317171789195</v>
      </c>
      <c r="L231">
        <f t="shared" si="25"/>
        <v>1.4035698993236067E-2</v>
      </c>
      <c r="M231">
        <f t="shared" si="26"/>
        <v>1.7340131349240024E-2</v>
      </c>
      <c r="N231">
        <f t="shared" si="27"/>
        <v>7.283739233040409E-3</v>
      </c>
      <c r="O231">
        <f t="shared" si="28"/>
        <v>1.8456178586257192E-2</v>
      </c>
      <c r="P231">
        <f t="shared" si="29"/>
        <v>2.7461024211180898E-5</v>
      </c>
      <c r="Q231">
        <f t="shared" si="30"/>
        <v>8.6930972952244158E-5</v>
      </c>
      <c r="R231">
        <f t="shared" si="31"/>
        <v>4.3924918868067852E-3</v>
      </c>
      <c r="S231">
        <f t="shared" si="32"/>
        <v>6.5346237377174841E-3</v>
      </c>
    </row>
    <row r="232" spans="1:19" x14ac:dyDescent="0.2">
      <c r="A232" t="s">
        <v>67</v>
      </c>
      <c r="B232" t="s">
        <v>41</v>
      </c>
      <c r="C232">
        <v>0.77644332070796396</v>
      </c>
      <c r="D232">
        <v>0.74562959644875804</v>
      </c>
      <c r="E232">
        <v>0.90193276098242203</v>
      </c>
      <c r="F232">
        <v>0.91862218540366303</v>
      </c>
      <c r="G232">
        <v>0.81500523114712498</v>
      </c>
      <c r="H232">
        <v>0.79580130481908595</v>
      </c>
      <c r="I232">
        <v>0.49999999194563</v>
      </c>
      <c r="J232">
        <v>0.767628183903172</v>
      </c>
      <c r="K232">
        <v>0.81512428004779003</v>
      </c>
      <c r="L232">
        <f t="shared" si="25"/>
        <v>9.494856027223755E-4</v>
      </c>
      <c r="M232">
        <f t="shared" si="26"/>
        <v>1.574759962039678E-2</v>
      </c>
      <c r="N232">
        <f t="shared" si="27"/>
        <v>2.0214829566157902E-2</v>
      </c>
      <c r="O232">
        <f t="shared" si="28"/>
        <v>1.4870209367178755E-3</v>
      </c>
      <c r="P232">
        <f t="shared" si="29"/>
        <v>3.7473154884645163E-4</v>
      </c>
      <c r="Q232">
        <f t="shared" si="30"/>
        <v>7.6420914017199859E-2</v>
      </c>
      <c r="R232">
        <f t="shared" si="31"/>
        <v>7.7706636887197743E-5</v>
      </c>
      <c r="S232">
        <f t="shared" si="32"/>
        <v>1.4962166154492778E-3</v>
      </c>
    </row>
    <row r="233" spans="1:19" x14ac:dyDescent="0.2">
      <c r="A233" t="s">
        <v>67</v>
      </c>
      <c r="B233" t="s">
        <v>42</v>
      </c>
      <c r="C233">
        <v>0.5</v>
      </c>
      <c r="D233">
        <v>0.292212222616128</v>
      </c>
      <c r="E233">
        <v>0.42960038241294102</v>
      </c>
      <c r="F233">
        <v>0.49416431207533101</v>
      </c>
      <c r="G233">
        <v>0.34234300571276699</v>
      </c>
      <c r="H233">
        <v>0.33607539645907403</v>
      </c>
      <c r="I233">
        <v>0.36520006730641502</v>
      </c>
      <c r="J233">
        <v>0.34937028866561498</v>
      </c>
      <c r="K233">
        <v>86.639417818075302</v>
      </c>
      <c r="L233">
        <f t="shared" si="25"/>
        <v>4.3175760430129544E-2</v>
      </c>
      <c r="M233">
        <f t="shared" si="26"/>
        <v>4.956106156404144E-3</v>
      </c>
      <c r="N233">
        <f t="shared" si="27"/>
        <v>3.405525355412742E-5</v>
      </c>
      <c r="O233">
        <f t="shared" si="28"/>
        <v>2.4855727847684621E-2</v>
      </c>
      <c r="P233">
        <f t="shared" si="29"/>
        <v>2.6871275646049759E-2</v>
      </c>
      <c r="Q233">
        <f t="shared" si="30"/>
        <v>1.817102185419504E-2</v>
      </c>
      <c r="R233">
        <f t="shared" si="31"/>
        <v>2.2689309936680158E-2</v>
      </c>
      <c r="S233">
        <f t="shared" si="32"/>
        <v>7419.9993020369484</v>
      </c>
    </row>
    <row r="234" spans="1:19" x14ac:dyDescent="0.2">
      <c r="A234" t="s">
        <v>67</v>
      </c>
      <c r="B234" t="s">
        <v>43</v>
      </c>
      <c r="C234">
        <v>0.71854052062671303</v>
      </c>
      <c r="D234">
        <v>0.60390649307105004</v>
      </c>
      <c r="E234">
        <v>0.77828280472828204</v>
      </c>
      <c r="F234">
        <v>0.81874947738473003</v>
      </c>
      <c r="G234">
        <v>0.65550733682524898</v>
      </c>
      <c r="H234">
        <v>0.63948690990961399</v>
      </c>
      <c r="I234">
        <v>0.65288111520556402</v>
      </c>
      <c r="J234">
        <v>0.61170023469298396</v>
      </c>
      <c r="K234">
        <v>0.65580585792071699</v>
      </c>
      <c r="L234">
        <f t="shared" si="25"/>
        <v>1.31409602736325E-2</v>
      </c>
      <c r="M234">
        <f t="shared" si="26"/>
        <v>3.5691405096725851E-3</v>
      </c>
      <c r="N234">
        <f t="shared" si="27"/>
        <v>1.0041835014530121E-2</v>
      </c>
      <c r="O234">
        <f t="shared" si="28"/>
        <v>3.9731822601491501E-3</v>
      </c>
      <c r="P234">
        <f t="shared" si="29"/>
        <v>6.2494733674106368E-3</v>
      </c>
      <c r="Q234">
        <f t="shared" si="30"/>
        <v>4.3111575202588121E-3</v>
      </c>
      <c r="R234">
        <f t="shared" si="31"/>
        <v>1.1414846698400986E-2</v>
      </c>
      <c r="S234">
        <f t="shared" si="32"/>
        <v>3.9356379048350902E-3</v>
      </c>
    </row>
    <row r="235" spans="1:19" x14ac:dyDescent="0.2">
      <c r="A235" t="s">
        <v>67</v>
      </c>
      <c r="B235" t="s">
        <v>44</v>
      </c>
      <c r="C235">
        <v>0.78479559032017299</v>
      </c>
      <c r="D235">
        <v>0.635578886719108</v>
      </c>
      <c r="E235">
        <v>0.78523027589705996</v>
      </c>
      <c r="F235">
        <v>0.82406743294578499</v>
      </c>
      <c r="G235">
        <v>0.66128295555332095</v>
      </c>
      <c r="H235">
        <v>0.69433572163214297</v>
      </c>
      <c r="I235">
        <v>0.49999998743471902</v>
      </c>
      <c r="J235">
        <v>0.70751832844832596</v>
      </c>
      <c r="K235">
        <v>0.69661686085302899</v>
      </c>
      <c r="L235">
        <f t="shared" si="25"/>
        <v>2.2265624633568078E-2</v>
      </c>
      <c r="M235">
        <f t="shared" si="26"/>
        <v>1.8895155075356039E-7</v>
      </c>
      <c r="N235">
        <f t="shared" si="27"/>
        <v>1.5422776232108363E-3</v>
      </c>
      <c r="O235">
        <f t="shared" si="28"/>
        <v>1.5255370947049787E-2</v>
      </c>
      <c r="P235">
        <f t="shared" si="29"/>
        <v>8.1829878430556349E-3</v>
      </c>
      <c r="Q235">
        <f t="shared" si="30"/>
        <v>8.1108535422889191E-2</v>
      </c>
      <c r="R235">
        <f t="shared" si="31"/>
        <v>5.9717752024100222E-3</v>
      </c>
      <c r="S235">
        <f t="shared" si="32"/>
        <v>7.7754883304397698E-3</v>
      </c>
    </row>
    <row r="236" spans="1:19" x14ac:dyDescent="0.2">
      <c r="A236" t="s">
        <v>67</v>
      </c>
      <c r="B236" t="s">
        <v>45</v>
      </c>
      <c r="C236">
        <v>0.77011370087989195</v>
      </c>
      <c r="D236">
        <v>0.66879383369636403</v>
      </c>
      <c r="E236">
        <v>0.81852990695908601</v>
      </c>
      <c r="F236">
        <v>0.85355166713688102</v>
      </c>
      <c r="G236">
        <v>0.702000031863111</v>
      </c>
      <c r="H236">
        <v>0.69224181829937803</v>
      </c>
      <c r="I236">
        <v>0.499999713391025</v>
      </c>
      <c r="J236">
        <v>0.67736952670818296</v>
      </c>
      <c r="K236">
        <v>0.70301064125002899</v>
      </c>
      <c r="L236">
        <f t="shared" si="25"/>
        <v>1.0265715486087738E-2</v>
      </c>
      <c r="M236">
        <f t="shared" si="26"/>
        <v>2.3441290111029878E-3</v>
      </c>
      <c r="N236">
        <f t="shared" si="27"/>
        <v>6.9618942131024469E-3</v>
      </c>
      <c r="O236">
        <f t="shared" si="28"/>
        <v>4.639471906927586E-3</v>
      </c>
      <c r="P236">
        <f t="shared" si="29"/>
        <v>6.0640300966333469E-3</v>
      </c>
      <c r="Q236">
        <f t="shared" si="30"/>
        <v>7.2961566237135775E-2</v>
      </c>
      <c r="R236">
        <f t="shared" si="31"/>
        <v>8.6014818427922937E-3</v>
      </c>
      <c r="S236">
        <f t="shared" si="32"/>
        <v>4.5028206116889445E-3</v>
      </c>
    </row>
    <row r="237" spans="1:19" x14ac:dyDescent="0.2">
      <c r="A237" t="s">
        <v>67</v>
      </c>
      <c r="B237" t="s">
        <v>46</v>
      </c>
      <c r="C237">
        <v>0.74537124316813896</v>
      </c>
      <c r="D237">
        <v>0.62879068981992703</v>
      </c>
      <c r="E237">
        <v>0.85898886827212695</v>
      </c>
      <c r="F237">
        <v>0.81424795984353504</v>
      </c>
      <c r="G237">
        <v>0.64392560586904501</v>
      </c>
      <c r="H237">
        <v>0.64534285349907705</v>
      </c>
      <c r="I237">
        <v>0.65576241787537004</v>
      </c>
      <c r="J237">
        <v>0.65708536502493398</v>
      </c>
      <c r="K237">
        <v>0.70250295625470205</v>
      </c>
      <c r="L237">
        <f t="shared" si="25"/>
        <v>1.359102541897529E-2</v>
      </c>
      <c r="M237">
        <f t="shared" si="26"/>
        <v>1.290896473427036E-2</v>
      </c>
      <c r="N237">
        <f t="shared" si="27"/>
        <v>4.744002099982784E-3</v>
      </c>
      <c r="O237">
        <f t="shared" si="28"/>
        <v>1.0291217327019321E-2</v>
      </c>
      <c r="P237">
        <f t="shared" si="29"/>
        <v>1.0005678739785692E-2</v>
      </c>
      <c r="Q237">
        <f t="shared" si="30"/>
        <v>8.0297415703499842E-3</v>
      </c>
      <c r="R237">
        <f t="shared" si="31"/>
        <v>7.7943962795168405E-3</v>
      </c>
      <c r="S237">
        <f t="shared" si="32"/>
        <v>1.8376900228927466E-3</v>
      </c>
    </row>
    <row r="238" spans="1:19" x14ac:dyDescent="0.2">
      <c r="A238" t="s">
        <v>67</v>
      </c>
      <c r="B238" t="s">
        <v>47</v>
      </c>
      <c r="C238">
        <v>0.5</v>
      </c>
      <c r="D238">
        <v>0.27906976744186002</v>
      </c>
      <c r="E238">
        <v>0.96358047740852304</v>
      </c>
      <c r="F238">
        <v>0.72426055194573502</v>
      </c>
      <c r="G238">
        <v>0.51900213188633304</v>
      </c>
      <c r="H238">
        <v>0.508876990881861</v>
      </c>
      <c r="I238">
        <v>0.53200026461632999</v>
      </c>
      <c r="J238">
        <v>0.47878324962563101</v>
      </c>
      <c r="K238">
        <v>0.51900536058684998</v>
      </c>
      <c r="L238">
        <f t="shared" si="25"/>
        <v>4.8810167658193813E-2</v>
      </c>
      <c r="M238">
        <f t="shared" si="26"/>
        <v>0.21490685903431414</v>
      </c>
      <c r="N238">
        <f t="shared" si="27"/>
        <v>5.0292795159005713E-2</v>
      </c>
      <c r="O238">
        <f t="shared" si="28"/>
        <v>3.6108101622559489E-4</v>
      </c>
      <c r="P238">
        <f t="shared" si="29"/>
        <v>7.8800967116643379E-5</v>
      </c>
      <c r="Q238">
        <f t="shared" si="30"/>
        <v>1.024016935515141E-3</v>
      </c>
      <c r="R238">
        <f t="shared" si="31"/>
        <v>4.5015049644828652E-4</v>
      </c>
      <c r="S238">
        <f t="shared" si="32"/>
        <v>3.6120373103619077E-4</v>
      </c>
    </row>
    <row r="239" spans="1:19" x14ac:dyDescent="0.2">
      <c r="A239" t="s">
        <v>67</v>
      </c>
      <c r="B239" t="s">
        <v>48</v>
      </c>
      <c r="C239">
        <v>0.64438690289760203</v>
      </c>
      <c r="D239">
        <v>0.39094249743493997</v>
      </c>
      <c r="E239">
        <v>0.63589335101919897</v>
      </c>
      <c r="F239">
        <v>0.586633346967386</v>
      </c>
      <c r="G239">
        <v>0.42390837801995002</v>
      </c>
      <c r="H239">
        <v>0.44046771671844698</v>
      </c>
      <c r="I239">
        <v>0.46231502706983102</v>
      </c>
      <c r="J239">
        <v>0.46287004948721</v>
      </c>
      <c r="K239">
        <v>18.477657149822701</v>
      </c>
      <c r="L239">
        <f t="shared" si="25"/>
        <v>6.4234066660322248E-2</v>
      </c>
      <c r="M239">
        <f t="shared" si="26"/>
        <v>7.2140423511124157E-5</v>
      </c>
      <c r="N239">
        <f t="shared" si="27"/>
        <v>3.3354732225845908E-3</v>
      </c>
      <c r="O239">
        <f t="shared" si="28"/>
        <v>4.8610779932225422E-2</v>
      </c>
      <c r="P239">
        <f t="shared" si="29"/>
        <v>4.1583034491968901E-2</v>
      </c>
      <c r="Q239">
        <f t="shared" si="30"/>
        <v>3.3150167967443266E-2</v>
      </c>
      <c r="R239">
        <f t="shared" si="31"/>
        <v>3.2948368072009751E-2</v>
      </c>
      <c r="S239">
        <f t="shared" si="32"/>
        <v>318.02552769986403</v>
      </c>
    </row>
    <row r="240" spans="1:19" x14ac:dyDescent="0.2">
      <c r="A240" t="s">
        <v>67</v>
      </c>
      <c r="B240" t="s">
        <v>49</v>
      </c>
      <c r="C240">
        <v>0.46438738408784902</v>
      </c>
      <c r="D240">
        <v>0.21557168626572301</v>
      </c>
      <c r="E240">
        <v>0.63474651558792194</v>
      </c>
      <c r="F240">
        <v>0.490324804567561</v>
      </c>
      <c r="G240">
        <v>0.29438738460596298</v>
      </c>
      <c r="H240">
        <v>0.31501133874639098</v>
      </c>
      <c r="I240">
        <v>0.34063782152206101</v>
      </c>
      <c r="J240">
        <v>0.36262241548818003</v>
      </c>
      <c r="K240">
        <v>1.9400104993331</v>
      </c>
      <c r="L240">
        <f t="shared" si="25"/>
        <v>6.1909251482711522E-2</v>
      </c>
      <c r="M240">
        <f t="shared" si="26"/>
        <v>2.9022233685459139E-2</v>
      </c>
      <c r="N240">
        <f t="shared" si="27"/>
        <v>6.7274978114138253E-4</v>
      </c>
      <c r="O240">
        <f t="shared" si="28"/>
        <v>2.8899999823841255E-2</v>
      </c>
      <c r="P240">
        <f t="shared" si="29"/>
        <v>2.2313202921853327E-2</v>
      </c>
      <c r="Q240">
        <f t="shared" si="30"/>
        <v>1.531395423522388E-2</v>
      </c>
      <c r="R240">
        <f t="shared" si="31"/>
        <v>1.0356108834091616E-2</v>
      </c>
      <c r="S240">
        <f t="shared" si="32"/>
        <v>2.1774635782460994</v>
      </c>
    </row>
    <row r="241" spans="1:19" x14ac:dyDescent="0.2">
      <c r="A241" t="s">
        <v>67</v>
      </c>
      <c r="B241" t="s">
        <v>50</v>
      </c>
      <c r="C241">
        <v>0.64143562063042703</v>
      </c>
      <c r="D241">
        <v>0.56496908188540296</v>
      </c>
      <c r="E241">
        <v>0.73902265169297598</v>
      </c>
      <c r="F241">
        <v>0.77157973356586596</v>
      </c>
      <c r="G241">
        <v>0.60134832239397096</v>
      </c>
      <c r="H241">
        <v>0.52645472824968997</v>
      </c>
      <c r="I241">
        <v>0.548494838832291</v>
      </c>
      <c r="J241">
        <v>0.486550922822931</v>
      </c>
      <c r="K241">
        <v>0.60263122635946398</v>
      </c>
      <c r="L241">
        <f t="shared" si="25"/>
        <v>5.8471315476442678E-3</v>
      </c>
      <c r="M241">
        <f t="shared" si="26"/>
        <v>9.5232286316028949E-3</v>
      </c>
      <c r="N241">
        <f t="shared" si="27"/>
        <v>1.6937490131752282E-2</v>
      </c>
      <c r="O241">
        <f t="shared" si="28"/>
        <v>1.6069914798985739E-3</v>
      </c>
      <c r="P241">
        <f t="shared" si="29"/>
        <v>1.3220605612670636E-2</v>
      </c>
      <c r="Q241">
        <f t="shared" si="30"/>
        <v>8.6379889212487328E-3</v>
      </c>
      <c r="R241">
        <f t="shared" si="31"/>
        <v>2.3989269614919366E-2</v>
      </c>
      <c r="S241">
        <f t="shared" si="32"/>
        <v>1.50578101473635E-3</v>
      </c>
    </row>
    <row r="242" spans="1:19" x14ac:dyDescent="0.2">
      <c r="A242" t="s">
        <v>67</v>
      </c>
      <c r="B242" t="s">
        <v>51</v>
      </c>
      <c r="C242">
        <v>0.67948818892575502</v>
      </c>
      <c r="D242">
        <v>0.50489699105068797</v>
      </c>
      <c r="E242">
        <v>0.73127136394932901</v>
      </c>
      <c r="F242">
        <v>0.76256359393018103</v>
      </c>
      <c r="G242">
        <v>0.58989352941198903</v>
      </c>
      <c r="H242">
        <v>0.50153812113621898</v>
      </c>
      <c r="I242">
        <v>0.53149905986964496</v>
      </c>
      <c r="J242">
        <v>0.408761090125905</v>
      </c>
      <c r="K242">
        <v>0.59020374038095502</v>
      </c>
      <c r="L242">
        <f t="shared" si="25"/>
        <v>3.0482086375450818E-2</v>
      </c>
      <c r="M242">
        <f t="shared" si="26"/>
        <v>2.6814972155220973E-3</v>
      </c>
      <c r="N242">
        <f t="shared" si="27"/>
        <v>6.9015229166494094E-3</v>
      </c>
      <c r="O242">
        <f t="shared" si="28"/>
        <v>8.0272030133876592E-3</v>
      </c>
      <c r="P242">
        <f t="shared" si="29"/>
        <v>3.1666226626300469E-2</v>
      </c>
      <c r="Q242">
        <f t="shared" si="30"/>
        <v>2.1900782318785998E-2</v>
      </c>
      <c r="R242">
        <f t="shared" si="31"/>
        <v>7.3293162024583747E-2</v>
      </c>
      <c r="S242">
        <f t="shared" si="32"/>
        <v>7.9717127519490383E-3</v>
      </c>
    </row>
    <row r="243" spans="1:19" x14ac:dyDescent="0.2">
      <c r="A243" t="s">
        <v>67</v>
      </c>
      <c r="B243" t="s">
        <v>52</v>
      </c>
      <c r="C243">
        <v>0.80435281960741201</v>
      </c>
      <c r="D243">
        <v>0.70045804038491999</v>
      </c>
      <c r="E243">
        <v>0.77237839209220804</v>
      </c>
      <c r="F243">
        <v>0.82280465899359501</v>
      </c>
      <c r="G243">
        <v>0.66281930751026097</v>
      </c>
      <c r="H243">
        <v>0.70388025230100204</v>
      </c>
      <c r="I243">
        <v>0.49999991586562897</v>
      </c>
      <c r="J243">
        <v>0.73418501536249103</v>
      </c>
      <c r="K243">
        <v>11.944597178453099</v>
      </c>
      <c r="L243">
        <f t="shared" si="25"/>
        <v>1.0794125149690359E-2</v>
      </c>
      <c r="M243">
        <f t="shared" si="26"/>
        <v>1.0223640149250323E-3</v>
      </c>
      <c r="N243">
        <f t="shared" si="27"/>
        <v>3.4047037673349422E-4</v>
      </c>
      <c r="O243">
        <f t="shared" si="28"/>
        <v>2.0031735046554398E-2</v>
      </c>
      <c r="P243">
        <f t="shared" si="29"/>
        <v>1.0094736781141081E-2</v>
      </c>
      <c r="Q243">
        <f t="shared" si="30"/>
        <v>9.2630690016055048E-2</v>
      </c>
      <c r="R243">
        <f t="shared" si="31"/>
        <v>4.9235207525535497E-3</v>
      </c>
      <c r="S243">
        <f t="shared" si="32"/>
        <v>124.10504437479314</v>
      </c>
    </row>
    <row r="244" spans="1:19" x14ac:dyDescent="0.2">
      <c r="A244" t="s">
        <v>67</v>
      </c>
      <c r="B244" t="s">
        <v>53</v>
      </c>
      <c r="C244">
        <v>0.46760767190765401</v>
      </c>
      <c r="D244">
        <v>0.194957482191808</v>
      </c>
      <c r="E244">
        <v>0.71107987406559703</v>
      </c>
      <c r="F244">
        <v>0.478296035154823</v>
      </c>
      <c r="G244">
        <v>0.38295512755217598</v>
      </c>
      <c r="H244">
        <v>0.32001254676394397</v>
      </c>
      <c r="I244">
        <v>0.36379884048834599</v>
      </c>
      <c r="J244">
        <v>0.25390692708588503</v>
      </c>
      <c r="K244">
        <v>0.38298485709493701</v>
      </c>
      <c r="L244">
        <f t="shared" si="25"/>
        <v>7.4338125952086803E-2</v>
      </c>
      <c r="M244">
        <f t="shared" si="26"/>
        <v>5.9278713223638271E-2</v>
      </c>
      <c r="N244">
        <f t="shared" si="27"/>
        <v>1.1424110890343275E-4</v>
      </c>
      <c r="O244">
        <f t="shared" si="28"/>
        <v>7.166053265856176E-3</v>
      </c>
      <c r="P244">
        <f t="shared" si="29"/>
        <v>2.1784320966187428E-2</v>
      </c>
      <c r="Q244">
        <f t="shared" si="30"/>
        <v>1.0776273480642312E-2</v>
      </c>
      <c r="R244">
        <f t="shared" si="31"/>
        <v>4.5668008337378822E-2</v>
      </c>
      <c r="S244">
        <f t="shared" si="32"/>
        <v>7.1610207868273946E-3</v>
      </c>
    </row>
    <row r="245" spans="1:19" x14ac:dyDescent="0.2">
      <c r="A245" t="s">
        <v>67</v>
      </c>
      <c r="B245" t="s">
        <v>54</v>
      </c>
      <c r="C245">
        <v>0.66666666666666596</v>
      </c>
      <c r="D245">
        <v>2.8518518538337201E-2</v>
      </c>
      <c r="E245">
        <v>0.315569098502542</v>
      </c>
      <c r="F245">
        <v>0.276380655308409</v>
      </c>
      <c r="G245">
        <v>0.22893431282233601</v>
      </c>
      <c r="H245">
        <v>0.17316599458895099</v>
      </c>
      <c r="I245">
        <v>0.22025567150808101</v>
      </c>
      <c r="J245">
        <v>0.13564818674362999</v>
      </c>
      <c r="K245">
        <v>0.230538286312098</v>
      </c>
      <c r="L245">
        <f t="shared" si="25"/>
        <v>0.40723305895961542</v>
      </c>
      <c r="M245">
        <f t="shared" si="26"/>
        <v>0.12326950237076167</v>
      </c>
      <c r="N245">
        <f t="shared" si="27"/>
        <v>0.15232317066193748</v>
      </c>
      <c r="O245">
        <f t="shared" si="28"/>
        <v>0.19160961360209769</v>
      </c>
      <c r="P245">
        <f t="shared" si="29"/>
        <v>0.24354291334115638</v>
      </c>
      <c r="Q245">
        <f t="shared" si="30"/>
        <v>0.19928277659847815</v>
      </c>
      <c r="R245">
        <f t="shared" si="31"/>
        <v>0.28198062601977175</v>
      </c>
      <c r="S245">
        <f t="shared" si="32"/>
        <v>0.19020796415069871</v>
      </c>
    </row>
    <row r="246" spans="1:19" x14ac:dyDescent="0.2">
      <c r="A246" t="s">
        <v>67</v>
      </c>
      <c r="B246" t="s">
        <v>55</v>
      </c>
      <c r="C246">
        <v>0.62596535270562204</v>
      </c>
      <c r="D246">
        <v>0.52290346359356898</v>
      </c>
      <c r="E246">
        <v>0.78563789002675599</v>
      </c>
      <c r="F246">
        <v>0.700485528622107</v>
      </c>
      <c r="G246">
        <v>0.50833410797370304</v>
      </c>
      <c r="H246">
        <v>0.56826060146322499</v>
      </c>
      <c r="I246">
        <v>0.57827275398169498</v>
      </c>
      <c r="J246">
        <v>0.62257441523582602</v>
      </c>
      <c r="K246">
        <v>1.1181334753626699</v>
      </c>
      <c r="L246">
        <f t="shared" si="25"/>
        <v>1.0621752987345119E-2</v>
      </c>
      <c r="M246">
        <f t="shared" si="26"/>
        <v>2.5495319174568917E-2</v>
      </c>
      <c r="N246">
        <f t="shared" si="27"/>
        <v>5.553256618623866E-3</v>
      </c>
      <c r="O246">
        <f t="shared" si="28"/>
        <v>1.3837109737180621E-2</v>
      </c>
      <c r="P246">
        <f t="shared" si="29"/>
        <v>3.3298383159469235E-3</v>
      </c>
      <c r="Q246">
        <f t="shared" si="30"/>
        <v>2.274583973041529E-3</v>
      </c>
      <c r="R246">
        <f t="shared" si="31"/>
        <v>1.1498456924066621E-5</v>
      </c>
      <c r="S246">
        <f t="shared" si="32"/>
        <v>0.24222946095976294</v>
      </c>
    </row>
    <row r="247" spans="1:19" x14ac:dyDescent="0.2">
      <c r="A247" t="s">
        <v>67</v>
      </c>
      <c r="B247" t="s">
        <v>56</v>
      </c>
      <c r="C247">
        <v>0.74199777434209402</v>
      </c>
      <c r="D247">
        <v>0.54364874407212405</v>
      </c>
      <c r="E247">
        <v>0.75762631914651501</v>
      </c>
      <c r="F247">
        <v>0.73694296334659404</v>
      </c>
      <c r="G247">
        <v>0.550589910596059</v>
      </c>
      <c r="H247">
        <v>0.60285767405905399</v>
      </c>
      <c r="I247">
        <v>0.61367743080010895</v>
      </c>
      <c r="J247">
        <v>0.64317017010054001</v>
      </c>
      <c r="K247">
        <v>0.63902797123619204</v>
      </c>
      <c r="L247">
        <f t="shared" si="25"/>
        <v>3.9342337809037467E-2</v>
      </c>
      <c r="M247">
        <f t="shared" si="26"/>
        <v>2.442514127037945E-4</v>
      </c>
      <c r="N247">
        <f t="shared" si="27"/>
        <v>2.5551114200227508E-5</v>
      </c>
      <c r="O247">
        <f t="shared" si="28"/>
        <v>3.663697030382071E-2</v>
      </c>
      <c r="P247">
        <f t="shared" si="29"/>
        <v>1.9359967506774434E-2</v>
      </c>
      <c r="Q247">
        <f t="shared" si="30"/>
        <v>1.6466110566733069E-2</v>
      </c>
      <c r="R247">
        <f t="shared" si="31"/>
        <v>9.7668953601252242E-3</v>
      </c>
      <c r="S247">
        <f t="shared" si="32"/>
        <v>1.0602780351668221E-2</v>
      </c>
    </row>
    <row r="248" spans="1:19" x14ac:dyDescent="0.2">
      <c r="A248" t="s">
        <v>67</v>
      </c>
      <c r="B248" t="s">
        <v>57</v>
      </c>
      <c r="C248">
        <v>0.73478355690987196</v>
      </c>
      <c r="D248">
        <v>0.67164540409086604</v>
      </c>
      <c r="E248">
        <v>0.79653259311102298</v>
      </c>
      <c r="F248">
        <v>0.80751374679379895</v>
      </c>
      <c r="G248">
        <v>0.64735835780745599</v>
      </c>
      <c r="H248">
        <v>0.69177821642813297</v>
      </c>
      <c r="I248">
        <v>0.49999994586319002</v>
      </c>
      <c r="J248">
        <v>0.72784062979629005</v>
      </c>
      <c r="K248">
        <v>0.80296789029376303</v>
      </c>
      <c r="L248">
        <f t="shared" si="25"/>
        <v>3.9864263413961452E-3</v>
      </c>
      <c r="M248">
        <f t="shared" si="26"/>
        <v>3.8129434717710593E-3</v>
      </c>
      <c r="N248">
        <f t="shared" si="27"/>
        <v>5.2896805205520751E-3</v>
      </c>
      <c r="O248">
        <f t="shared" si="28"/>
        <v>7.6431654380970746E-3</v>
      </c>
      <c r="P248">
        <f t="shared" si="29"/>
        <v>1.849459309950298E-3</v>
      </c>
      <c r="Q248">
        <f t="shared" si="30"/>
        <v>5.5123344016119631E-2</v>
      </c>
      <c r="R248">
        <f t="shared" si="31"/>
        <v>4.8204236904510821E-5</v>
      </c>
      <c r="S248">
        <f t="shared" si="32"/>
        <v>4.6491033190056022E-3</v>
      </c>
    </row>
    <row r="249" spans="1:19" x14ac:dyDescent="0.2">
      <c r="A249" t="s">
        <v>67</v>
      </c>
      <c r="B249" t="s">
        <v>58</v>
      </c>
      <c r="C249">
        <v>0.73296089388306196</v>
      </c>
      <c r="D249">
        <v>0.64008171429287497</v>
      </c>
      <c r="E249">
        <v>0.77866330291580499</v>
      </c>
      <c r="F249">
        <v>0.81357509711157405</v>
      </c>
      <c r="G249">
        <v>0.64327170176477899</v>
      </c>
      <c r="H249">
        <v>0.62591175967625701</v>
      </c>
      <c r="I249">
        <v>0.63834184923425097</v>
      </c>
      <c r="J249">
        <v>0.62382137999593901</v>
      </c>
      <c r="K249" s="1">
        <v>1.6690291480545E+65</v>
      </c>
      <c r="L249">
        <f t="shared" si="25"/>
        <v>8.6265420013462071E-3</v>
      </c>
      <c r="M249">
        <f t="shared" si="26"/>
        <v>2.0887101913961517E-3</v>
      </c>
      <c r="N249">
        <f t="shared" si="27"/>
        <v>6.4986497621678492E-3</v>
      </c>
      <c r="O249">
        <f t="shared" si="28"/>
        <v>8.0441511828302711E-3</v>
      </c>
      <c r="P249">
        <f t="shared" si="29"/>
        <v>1.1459517134426538E-2</v>
      </c>
      <c r="Q249">
        <f t="shared" si="30"/>
        <v>8.9527636102536869E-3</v>
      </c>
      <c r="R249">
        <f t="shared" si="31"/>
        <v>1.1911433491517503E-2</v>
      </c>
      <c r="S249">
        <f t="shared" si="32"/>
        <v>2.7856582970555302E+130</v>
      </c>
    </row>
    <row r="250" spans="1:19" x14ac:dyDescent="0.2">
      <c r="A250" t="s">
        <v>67</v>
      </c>
      <c r="B250" t="s">
        <v>59</v>
      </c>
      <c r="C250">
        <v>0.85434672277157597</v>
      </c>
      <c r="D250">
        <v>0.79357439303101196</v>
      </c>
      <c r="E250">
        <v>0.86214281215713495</v>
      </c>
      <c r="F250">
        <v>0.88824712685127305</v>
      </c>
      <c r="G250">
        <v>0.76815424087280004</v>
      </c>
      <c r="H250">
        <v>0.80582853561418599</v>
      </c>
      <c r="I250">
        <v>0.49999994684409599</v>
      </c>
      <c r="J250">
        <v>0.82799055184567705</v>
      </c>
      <c r="K250">
        <v>0.814156738766316</v>
      </c>
      <c r="L250">
        <f t="shared" si="25"/>
        <v>3.6932760620958412E-3</v>
      </c>
      <c r="M250">
        <f t="shared" si="26"/>
        <v>6.0779009707625392E-5</v>
      </c>
      <c r="N250">
        <f t="shared" si="27"/>
        <v>1.1492373967667423E-3</v>
      </c>
      <c r="O250">
        <f t="shared" si="28"/>
        <v>7.4291439358708166E-3</v>
      </c>
      <c r="P250">
        <f t="shared" si="29"/>
        <v>2.3540144850395222E-3</v>
      </c>
      <c r="Q250">
        <f t="shared" si="30"/>
        <v>0.1255616376101997</v>
      </c>
      <c r="R250">
        <f t="shared" si="31"/>
        <v>6.9464774587519977E-4</v>
      </c>
      <c r="S250">
        <f t="shared" si="32"/>
        <v>1.6152348143430523E-3</v>
      </c>
    </row>
    <row r="251" spans="1:19" x14ac:dyDescent="0.2">
      <c r="A251" t="s">
        <v>67</v>
      </c>
      <c r="B251" t="s">
        <v>60</v>
      </c>
      <c r="C251">
        <v>0.60016671882653505</v>
      </c>
      <c r="D251">
        <v>0.46140504391542903</v>
      </c>
      <c r="E251">
        <v>0.65290878680005504</v>
      </c>
      <c r="F251">
        <v>0.71355428502563401</v>
      </c>
      <c r="G251">
        <v>0.53798037631562501</v>
      </c>
      <c r="H251">
        <v>0.52637905089283699</v>
      </c>
      <c r="I251">
        <v>0.54651011630329505</v>
      </c>
      <c r="J251">
        <v>0.51020807529990697</v>
      </c>
      <c r="K251">
        <v>0.53812157282578799</v>
      </c>
      <c r="L251">
        <f t="shared" si="25"/>
        <v>1.9254802424135471E-2</v>
      </c>
      <c r="M251">
        <f t="shared" si="26"/>
        <v>2.7817257341234032E-3</v>
      </c>
      <c r="N251">
        <f t="shared" si="27"/>
        <v>1.2856740168555049E-2</v>
      </c>
      <c r="O251">
        <f t="shared" si="28"/>
        <v>3.8671411948842174E-3</v>
      </c>
      <c r="P251">
        <f t="shared" si="29"/>
        <v>5.4446199390936938E-3</v>
      </c>
      <c r="Q251">
        <f t="shared" si="30"/>
        <v>2.8790309943369655E-3</v>
      </c>
      <c r="R251">
        <f t="shared" si="31"/>
        <v>8.0925575451509437E-3</v>
      </c>
      <c r="S251">
        <f t="shared" si="32"/>
        <v>3.8496001422540197E-3</v>
      </c>
    </row>
    <row r="252" spans="1:19" x14ac:dyDescent="0.2">
      <c r="A252" t="s">
        <v>67</v>
      </c>
      <c r="B252" t="s">
        <v>61</v>
      </c>
      <c r="C252">
        <v>0.33404616825244599</v>
      </c>
      <c r="D252">
        <v>6.8835548161744795E-2</v>
      </c>
      <c r="E252">
        <v>0.416052285404789</v>
      </c>
      <c r="F252">
        <v>0.35717911112068601</v>
      </c>
      <c r="G252">
        <v>0.24778467470492899</v>
      </c>
      <c r="H252">
        <v>0.22540311963436499</v>
      </c>
      <c r="I252">
        <v>0.26721133576426598</v>
      </c>
      <c r="J252">
        <v>0.205311941994369</v>
      </c>
      <c r="K252">
        <v>0.24809938478149901</v>
      </c>
      <c r="L252">
        <f t="shared" si="25"/>
        <v>7.0336673008894235E-2</v>
      </c>
      <c r="M252">
        <f t="shared" si="26"/>
        <v>6.7250032504038073E-3</v>
      </c>
      <c r="N252">
        <f t="shared" si="27"/>
        <v>5.35133045745257E-4</v>
      </c>
      <c r="O252">
        <f t="shared" si="28"/>
        <v>7.4410452690483169E-3</v>
      </c>
      <c r="P252">
        <f t="shared" si="29"/>
        <v>1.180331201303071E-2</v>
      </c>
      <c r="Q252">
        <f t="shared" si="30"/>
        <v>4.4668948337230818E-3</v>
      </c>
      <c r="R252">
        <f t="shared" si="31"/>
        <v>1.6572501010265757E-2</v>
      </c>
      <c r="S252">
        <f t="shared" si="32"/>
        <v>7.3868495890018438E-3</v>
      </c>
    </row>
    <row r="253" spans="1:19" x14ac:dyDescent="0.2">
      <c r="A253" t="s">
        <v>67</v>
      </c>
      <c r="B253" t="s">
        <v>62</v>
      </c>
      <c r="C253">
        <v>0.72544289929550698</v>
      </c>
      <c r="D253">
        <v>0.634102135815514</v>
      </c>
      <c r="E253">
        <v>0.76333113329674196</v>
      </c>
      <c r="F253">
        <v>0.82421211563888697</v>
      </c>
      <c r="G253">
        <v>0.66049981275056202</v>
      </c>
      <c r="H253">
        <v>0.65577178251885904</v>
      </c>
      <c r="I253">
        <v>0.49999995830544303</v>
      </c>
      <c r="J253">
        <v>0.62027025681016501</v>
      </c>
      <c r="K253">
        <v>0.67747812824269504</v>
      </c>
      <c r="L253">
        <f t="shared" si="25"/>
        <v>8.3431350731080194E-3</v>
      </c>
      <c r="M253">
        <f t="shared" si="26"/>
        <v>1.4355182757323382E-3</v>
      </c>
      <c r="N253">
        <f t="shared" si="27"/>
        <v>9.7553580970853992E-3</v>
      </c>
      <c r="O253">
        <f t="shared" si="28"/>
        <v>4.217604489984211E-3</v>
      </c>
      <c r="P253">
        <f t="shared" si="29"/>
        <v>4.8540645129053145E-3</v>
      </c>
      <c r="Q253">
        <f t="shared" si="30"/>
        <v>5.0824519642249461E-2</v>
      </c>
      <c r="R253">
        <f t="shared" si="31"/>
        <v>1.1061284727349558E-2</v>
      </c>
      <c r="S253">
        <f t="shared" si="32"/>
        <v>2.3006192621486659E-3</v>
      </c>
    </row>
    <row r="254" spans="1:19" x14ac:dyDescent="0.2">
      <c r="A254" t="s">
        <v>67</v>
      </c>
      <c r="B254" t="s">
        <v>63</v>
      </c>
      <c r="C254">
        <v>0.26229508197766399</v>
      </c>
      <c r="D254">
        <v>-7.3675339988476998E-3</v>
      </c>
      <c r="E254">
        <v>0.43129283730971002</v>
      </c>
      <c r="F254">
        <v>0.25498413178057</v>
      </c>
      <c r="G254">
        <v>0.21951906887009401</v>
      </c>
      <c r="H254">
        <v>0.14290257110193599</v>
      </c>
      <c r="I254">
        <v>0.19659613214805399</v>
      </c>
      <c r="J254">
        <v>8.9463869856306499E-2</v>
      </c>
      <c r="K254">
        <v>0.21951689352739001</v>
      </c>
      <c r="L254">
        <f t="shared" si="25"/>
        <v>7.2717926455295623E-2</v>
      </c>
      <c r="M254">
        <f t="shared" si="26"/>
        <v>2.8560241307270091E-2</v>
      </c>
      <c r="N254">
        <f t="shared" si="27"/>
        <v>5.3449992784388657E-5</v>
      </c>
      <c r="O254">
        <f t="shared" si="28"/>
        <v>1.8297872973789988E-3</v>
      </c>
      <c r="P254">
        <f t="shared" si="29"/>
        <v>1.4254571653210828E-2</v>
      </c>
      <c r="Q254">
        <f t="shared" si="30"/>
        <v>4.3163520087136113E-3</v>
      </c>
      <c r="R254">
        <f t="shared" si="31"/>
        <v>2.9870627883337667E-2</v>
      </c>
      <c r="S254">
        <f t="shared" si="32"/>
        <v>1.8299734070871541E-3</v>
      </c>
    </row>
    <row r="255" spans="1:19" x14ac:dyDescent="0.2">
      <c r="A255" t="s">
        <v>68</v>
      </c>
      <c r="B255" t="s">
        <v>12</v>
      </c>
      <c r="C255">
        <v>0.80663066640211101</v>
      </c>
      <c r="D255">
        <v>0.69007752704312397</v>
      </c>
      <c r="E255">
        <v>0.75855102790274698</v>
      </c>
      <c r="F255">
        <v>0.81206840930345403</v>
      </c>
      <c r="G255">
        <v>0.64047157851457603</v>
      </c>
      <c r="H255">
        <v>0.69558720142320796</v>
      </c>
      <c r="I255">
        <v>0.49999988421942898</v>
      </c>
      <c r="J255">
        <v>0.73079349449118303</v>
      </c>
      <c r="K255">
        <v>0.77767904196045801</v>
      </c>
      <c r="L255">
        <f t="shared" si="25"/>
        <v>1.3584634294435453E-2</v>
      </c>
      <c r="M255">
        <f t="shared" si="26"/>
        <v>2.3116516382295279E-3</v>
      </c>
      <c r="N255">
        <f t="shared" si="27"/>
        <v>2.9569047861106443E-5</v>
      </c>
      <c r="O255">
        <f t="shared" si="28"/>
        <v>2.7608842487617573E-2</v>
      </c>
      <c r="P255">
        <f t="shared" si="29"/>
        <v>1.2330651114520868E-2</v>
      </c>
      <c r="Q255">
        <f t="shared" si="30"/>
        <v>9.4022436581963395E-2</v>
      </c>
      <c r="R255">
        <f t="shared" si="31"/>
        <v>5.7512766434476437E-3</v>
      </c>
      <c r="S255">
        <f t="shared" si="32"/>
        <v>8.3819655781051949E-4</v>
      </c>
    </row>
    <row r="256" spans="1:19" x14ac:dyDescent="0.2">
      <c r="A256" t="s">
        <v>68</v>
      </c>
      <c r="B256" t="s">
        <v>14</v>
      </c>
      <c r="C256">
        <v>0.78376205782045705</v>
      </c>
      <c r="D256">
        <v>0.66219961075104605</v>
      </c>
      <c r="E256">
        <v>0.743718685708192</v>
      </c>
      <c r="F256">
        <v>0.79920446231622699</v>
      </c>
      <c r="G256">
        <v>0.62401230864127999</v>
      </c>
      <c r="H256">
        <v>0.66745742873313796</v>
      </c>
      <c r="I256">
        <v>0.67470434919951106</v>
      </c>
      <c r="J256">
        <v>0.70117715360444199</v>
      </c>
      <c r="K256">
        <v>3.5981371317089099</v>
      </c>
      <c r="L256">
        <f t="shared" si="25"/>
        <v>1.477742853750335E-2</v>
      </c>
      <c r="M256">
        <f t="shared" si="26"/>
        <v>1.6034716501213265E-3</v>
      </c>
      <c r="N256">
        <f t="shared" si="27"/>
        <v>2.3846785661097583E-4</v>
      </c>
      <c r="O256">
        <f t="shared" si="28"/>
        <v>2.551998236280998E-2</v>
      </c>
      <c r="P256">
        <f t="shared" si="29"/>
        <v>1.3526766747138869E-2</v>
      </c>
      <c r="Q256">
        <f t="shared" si="30"/>
        <v>1.1893583809651158E-2</v>
      </c>
      <c r="R256">
        <f t="shared" si="31"/>
        <v>6.820266404368381E-3</v>
      </c>
      <c r="S256">
        <f t="shared" si="32"/>
        <v>7.920707056524634</v>
      </c>
    </row>
    <row r="257" spans="1:19" x14ac:dyDescent="0.2">
      <c r="A257" t="s">
        <v>68</v>
      </c>
      <c r="B257" t="s">
        <v>15</v>
      </c>
      <c r="C257">
        <v>0.85770662316644397</v>
      </c>
      <c r="D257">
        <v>0.75446446972938896</v>
      </c>
      <c r="E257">
        <v>0.805755747996032</v>
      </c>
      <c r="F257">
        <v>0.85739411734595306</v>
      </c>
      <c r="G257">
        <v>0.70247094936557397</v>
      </c>
      <c r="H257">
        <v>0.72417614443592804</v>
      </c>
      <c r="I257">
        <v>0.49999999597676098</v>
      </c>
      <c r="J257">
        <v>0.74547865739886199</v>
      </c>
      <c r="K257">
        <v>73198.748201621303</v>
      </c>
      <c r="L257">
        <f t="shared" si="25"/>
        <v>1.065894224632041E-2</v>
      </c>
      <c r="M257">
        <f t="shared" si="26"/>
        <v>2.698893430971727E-3</v>
      </c>
      <c r="N257">
        <f t="shared" si="27"/>
        <v>9.7659887840700558E-8</v>
      </c>
      <c r="O257">
        <f t="shared" si="28"/>
        <v>2.4098114420410117E-2</v>
      </c>
      <c r="P257">
        <f t="shared" si="29"/>
        <v>1.7830388750000769E-2</v>
      </c>
      <c r="Q257">
        <f t="shared" si="30"/>
        <v>0.12795403113541887</v>
      </c>
      <c r="R257">
        <f t="shared" si="31"/>
        <v>1.2595116300329553E-2</v>
      </c>
      <c r="S257">
        <f t="shared" si="32"/>
        <v>5357931172.9177389</v>
      </c>
    </row>
    <row r="258" spans="1:19" x14ac:dyDescent="0.2">
      <c r="A258" t="s">
        <v>68</v>
      </c>
      <c r="B258" t="s">
        <v>16</v>
      </c>
      <c r="C258">
        <v>0.86360403079970005</v>
      </c>
      <c r="D258">
        <v>0.75459395378444305</v>
      </c>
      <c r="E258">
        <v>0.81656900728267101</v>
      </c>
      <c r="F258">
        <v>0.86435936317710504</v>
      </c>
      <c r="G258">
        <v>0.72450142893993197</v>
      </c>
      <c r="H258">
        <v>0.77223763439757098</v>
      </c>
      <c r="I258">
        <v>0.49999998012549202</v>
      </c>
      <c r="J258">
        <v>0.80034585743603504</v>
      </c>
      <c r="K258">
        <v>0.80501701712862705</v>
      </c>
      <c r="L258">
        <f t="shared" si="25"/>
        <v>1.1883196890872263E-2</v>
      </c>
      <c r="M258">
        <f t="shared" si="26"/>
        <v>2.2122934372474749E-3</v>
      </c>
      <c r="N258">
        <f t="shared" si="27"/>
        <v>5.7052700035627972E-7</v>
      </c>
      <c r="O258">
        <f t="shared" si="28"/>
        <v>1.9349533844157156E-2</v>
      </c>
      <c r="P258">
        <f t="shared" si="29"/>
        <v>8.3478183915109833E-3</v>
      </c>
      <c r="Q258">
        <f t="shared" si="30"/>
        <v>0.13220790566669205</v>
      </c>
      <c r="R258">
        <f t="shared" si="31"/>
        <v>4.0015964973074978E-3</v>
      </c>
      <c r="S258">
        <f t="shared" si="32"/>
        <v>3.4324381708944942E-3</v>
      </c>
    </row>
    <row r="259" spans="1:19" x14ac:dyDescent="0.2">
      <c r="A259" t="s">
        <v>68</v>
      </c>
      <c r="B259" t="s">
        <v>17</v>
      </c>
      <c r="C259">
        <v>0.84639357256651904</v>
      </c>
      <c r="D259">
        <v>0.74053171019767905</v>
      </c>
      <c r="E259">
        <v>0.81293232042097097</v>
      </c>
      <c r="F259">
        <v>0.86649450210148804</v>
      </c>
      <c r="G259">
        <v>0.71767520546897801</v>
      </c>
      <c r="H259">
        <v>0.73457995993382297</v>
      </c>
      <c r="I259">
        <v>0.49999989824611901</v>
      </c>
      <c r="J259">
        <v>0.74242535803752496</v>
      </c>
      <c r="K259" s="1">
        <v>6.2842581676625797E+28</v>
      </c>
      <c r="L259">
        <f t="shared" ref="L259:L305" si="33">(D259-$C259)^2</f>
        <v>1.1206733904199221E-2</v>
      </c>
      <c r="M259">
        <f t="shared" ref="M259:M305" si="34">(E259-$C259)^2</f>
        <v>1.1196553951479454E-3</v>
      </c>
      <c r="N259">
        <f t="shared" ref="N259:N305" si="35">(F259-$C259)^2</f>
        <v>4.0404736816978919E-4</v>
      </c>
      <c r="O259">
        <f t="shared" ref="O259:O305" si="36">(G259-$C259)^2</f>
        <v>1.6568418028257332E-2</v>
      </c>
      <c r="P259">
        <f t="shared" ref="P259:P305" si="37">(H259-$C259)^2</f>
        <v>1.2502283969974611E-2</v>
      </c>
      <c r="Q259">
        <f t="shared" ref="Q259:Q305" si="38">(I259-$C259)^2</f>
        <v>0.11998857760918737</v>
      </c>
      <c r="R259">
        <f t="shared" ref="R259:R305" si="39">(J259-$C259)^2</f>
        <v>1.0809389632346934E-2</v>
      </c>
      <c r="S259">
        <f t="shared" ref="S259:S305" si="40">(K259-$C259)^2</f>
        <v>3.9491900717833847E+57</v>
      </c>
    </row>
    <row r="260" spans="1:19" x14ac:dyDescent="0.2">
      <c r="A260" t="s">
        <v>68</v>
      </c>
      <c r="B260" t="s">
        <v>18</v>
      </c>
      <c r="C260">
        <v>0.811148911039415</v>
      </c>
      <c r="D260">
        <v>0.71224611793125603</v>
      </c>
      <c r="E260">
        <v>0.79301458525333501</v>
      </c>
      <c r="F260">
        <v>0.847686151800359</v>
      </c>
      <c r="G260">
        <v>0.689496910930117</v>
      </c>
      <c r="H260">
        <v>0.70829484064777704</v>
      </c>
      <c r="I260">
        <v>0.499999633177936</v>
      </c>
      <c r="J260">
        <v>0.72356970882654403</v>
      </c>
      <c r="K260">
        <v>333851.03183841001</v>
      </c>
      <c r="L260">
        <f t="shared" si="33"/>
        <v>9.7817624845952973E-3</v>
      </c>
      <c r="M260">
        <f t="shared" si="34"/>
        <v>3.2885377171568549E-4</v>
      </c>
      <c r="N260">
        <f t="shared" si="35"/>
        <v>1.3349699624231877E-3</v>
      </c>
      <c r="O260">
        <f t="shared" si="36"/>
        <v>1.479920913059264E-2</v>
      </c>
      <c r="P260">
        <f t="shared" si="37"/>
        <v>1.0578959796128017E-2</v>
      </c>
      <c r="Q260">
        <f t="shared" si="38"/>
        <v>9.6813873113719862E-2</v>
      </c>
      <c r="R260">
        <f t="shared" si="39"/>
        <v>7.670116660242943E-3</v>
      </c>
      <c r="S260">
        <f t="shared" si="40"/>
        <v>111455969854.42719</v>
      </c>
    </row>
    <row r="261" spans="1:19" x14ac:dyDescent="0.2">
      <c r="A261" t="s">
        <v>68</v>
      </c>
      <c r="B261" t="s">
        <v>19</v>
      </c>
      <c r="C261">
        <v>0.78694251831279105</v>
      </c>
      <c r="D261">
        <v>0.69648402258355702</v>
      </c>
      <c r="E261">
        <v>0.78328540870336605</v>
      </c>
      <c r="F261">
        <v>0.83995922618419405</v>
      </c>
      <c r="G261">
        <v>0.67894143245049499</v>
      </c>
      <c r="H261">
        <v>0.69151869590944903</v>
      </c>
      <c r="I261">
        <v>0.49999986990219603</v>
      </c>
      <c r="J261">
        <v>0.69672511955216598</v>
      </c>
      <c r="K261" s="1">
        <v>2.5193163115885501E+17</v>
      </c>
      <c r="L261">
        <f t="shared" si="33"/>
        <v>8.1827394495958515E-3</v>
      </c>
      <c r="M261">
        <f t="shared" si="34"/>
        <v>1.3374450695348691E-5</v>
      </c>
      <c r="N261">
        <f t="shared" si="35"/>
        <v>2.8107713135216848E-3</v>
      </c>
      <c r="O261">
        <f t="shared" si="36"/>
        <v>1.1664234547435048E-2</v>
      </c>
      <c r="P261">
        <f t="shared" si="37"/>
        <v>9.1057058820645572E-3</v>
      </c>
      <c r="Q261">
        <f t="shared" si="38"/>
        <v>8.2336083476886354E-2</v>
      </c>
      <c r="R261">
        <f t="shared" si="39"/>
        <v>8.1391790391336337E-3</v>
      </c>
      <c r="S261">
        <f t="shared" si="40"/>
        <v>6.3469546778361364E+34</v>
      </c>
    </row>
    <row r="262" spans="1:19" x14ac:dyDescent="0.2">
      <c r="A262" t="s">
        <v>68</v>
      </c>
      <c r="B262" t="s">
        <v>20</v>
      </c>
      <c r="C262">
        <v>0.79901837405491904</v>
      </c>
      <c r="D262">
        <v>0.67890000926762395</v>
      </c>
      <c r="E262">
        <v>0.77434809500037904</v>
      </c>
      <c r="F262">
        <v>0.83324993211450404</v>
      </c>
      <c r="G262">
        <v>0.66941597415028598</v>
      </c>
      <c r="H262">
        <v>0.67449660257456101</v>
      </c>
      <c r="I262">
        <v>0.49999959077589501</v>
      </c>
      <c r="J262">
        <v>0.67438162826122805</v>
      </c>
      <c r="K262" s="1">
        <v>5.07204473595388E+73</v>
      </c>
      <c r="L262">
        <f t="shared" si="33"/>
        <v>1.4428421559173694E-2</v>
      </c>
      <c r="M262">
        <f t="shared" si="34"/>
        <v>6.086226686288751E-4</v>
      </c>
      <c r="N262">
        <f t="shared" si="35"/>
        <v>1.1717995671867386E-3</v>
      </c>
      <c r="O262">
        <f t="shared" si="36"/>
        <v>1.6796782061040433E-2</v>
      </c>
      <c r="P262">
        <f t="shared" si="37"/>
        <v>1.5505671572606508E-2</v>
      </c>
      <c r="Q262">
        <f t="shared" si="38"/>
        <v>8.9412232753667942E-2</v>
      </c>
      <c r="R262">
        <f t="shared" si="39"/>
        <v>1.553431840204115E-2</v>
      </c>
      <c r="S262">
        <f t="shared" si="40"/>
        <v>2.5725637803517466E+147</v>
      </c>
    </row>
    <row r="263" spans="1:19" x14ac:dyDescent="0.2">
      <c r="A263" t="s">
        <v>68</v>
      </c>
      <c r="B263" t="s">
        <v>21</v>
      </c>
      <c r="C263">
        <v>0.88079470204508503</v>
      </c>
      <c r="D263">
        <v>0.85178177239636499</v>
      </c>
      <c r="E263">
        <v>0.97461643223132099</v>
      </c>
      <c r="F263">
        <v>0.96333834285388797</v>
      </c>
      <c r="G263">
        <v>0.90596417369660898</v>
      </c>
      <c r="H263">
        <v>0.88804975627901905</v>
      </c>
      <c r="I263">
        <v>0.49999985534969899</v>
      </c>
      <c r="J263">
        <v>0.86991217553623301</v>
      </c>
      <c r="K263">
        <v>0.90597638583979501</v>
      </c>
      <c r="L263">
        <f t="shared" si="33"/>
        <v>8.4175008680157845E-4</v>
      </c>
      <c r="M263">
        <f t="shared" si="34"/>
        <v>8.8025170551388598E-3</v>
      </c>
      <c r="N263">
        <f t="shared" si="35"/>
        <v>6.8134526379726784E-3</v>
      </c>
      <c r="O263">
        <f t="shared" si="36"/>
        <v>6.335023032168675E-4</v>
      </c>
      <c r="P263">
        <f t="shared" si="37"/>
        <v>5.2635811937323975E-5</v>
      </c>
      <c r="Q263">
        <f t="shared" si="38"/>
        <v>0.14500471526976255</v>
      </c>
      <c r="R263">
        <f t="shared" si="39"/>
        <v>1.1842938321586693E-4</v>
      </c>
      <c r="S263">
        <f t="shared" si="40"/>
        <v>6.3411719873675894E-4</v>
      </c>
    </row>
    <row r="264" spans="1:19" x14ac:dyDescent="0.2">
      <c r="A264" t="s">
        <v>68</v>
      </c>
      <c r="B264" t="s">
        <v>22</v>
      </c>
      <c r="C264">
        <v>0.82697642384993997</v>
      </c>
      <c r="D264">
        <v>0.69538648316079599</v>
      </c>
      <c r="E264">
        <v>0.78134173917705396</v>
      </c>
      <c r="F264">
        <v>0.83304981316756399</v>
      </c>
      <c r="G264">
        <v>0.66620445695124098</v>
      </c>
      <c r="H264">
        <v>0.67995483889173802</v>
      </c>
      <c r="I264">
        <v>0.49999962744141702</v>
      </c>
      <c r="J264">
        <v>0.69639679431719204</v>
      </c>
      <c r="K264">
        <v>185573919424.65701</v>
      </c>
      <c r="L264">
        <f t="shared" si="33"/>
        <v>1.7315912490572429E-2</v>
      </c>
      <c r="M264">
        <f t="shared" si="34"/>
        <v>2.082524445193737E-3</v>
      </c>
      <c r="N264">
        <f t="shared" si="35"/>
        <v>3.688605780342959E-5</v>
      </c>
      <c r="O264">
        <f t="shared" si="36"/>
        <v>2.5847625340476365E-2</v>
      </c>
      <c r="P264">
        <f t="shared" si="37"/>
        <v>2.1615346443621793E-2</v>
      </c>
      <c r="Q264">
        <f t="shared" si="38"/>
        <v>0.10691382538958066</v>
      </c>
      <c r="R264">
        <f t="shared" si="39"/>
        <v>1.7051039648909697E-2</v>
      </c>
      <c r="S264">
        <f t="shared" si="40"/>
        <v>3.4437679570322165E+22</v>
      </c>
    </row>
    <row r="265" spans="1:19" x14ac:dyDescent="0.2">
      <c r="A265" t="s">
        <v>68</v>
      </c>
      <c r="B265" t="s">
        <v>23</v>
      </c>
      <c r="C265">
        <v>0.83166644243838395</v>
      </c>
      <c r="D265">
        <v>0.72610018541843202</v>
      </c>
      <c r="E265">
        <v>0.78668604606812997</v>
      </c>
      <c r="F265">
        <v>0.83824471601103601</v>
      </c>
      <c r="G265">
        <v>0.67844553036109201</v>
      </c>
      <c r="H265">
        <v>0.73573946888847297</v>
      </c>
      <c r="I265">
        <v>0.49999995560639898</v>
      </c>
      <c r="J265">
        <v>0.76994389333068003</v>
      </c>
      <c r="K265">
        <v>0.771341077139714</v>
      </c>
      <c r="L265">
        <f t="shared" si="33"/>
        <v>1.1144234621202549E-2</v>
      </c>
      <c r="M265">
        <f t="shared" si="34"/>
        <v>2.0232360576251567E-3</v>
      </c>
      <c r="N265">
        <f t="shared" si="35"/>
        <v>4.3273683196652501E-5</v>
      </c>
      <c r="O265">
        <f t="shared" si="36"/>
        <v>2.3476647897797225E-2</v>
      </c>
      <c r="P265">
        <f t="shared" si="37"/>
        <v>9.2019842544453206E-3</v>
      </c>
      <c r="Q265">
        <f t="shared" si="38"/>
        <v>0.11000265848747126</v>
      </c>
      <c r="R265">
        <f t="shared" si="39"/>
        <v>3.8096730683529214E-3</v>
      </c>
      <c r="S265">
        <f t="shared" si="40"/>
        <v>3.6391496984179714E-3</v>
      </c>
    </row>
    <row r="266" spans="1:19" x14ac:dyDescent="0.2">
      <c r="A266" t="s">
        <v>68</v>
      </c>
      <c r="B266" t="s">
        <v>24</v>
      </c>
      <c r="C266">
        <v>0.80552407926896497</v>
      </c>
      <c r="D266">
        <v>0.75687980567260904</v>
      </c>
      <c r="E266">
        <v>0.94775248895660202</v>
      </c>
      <c r="F266">
        <v>0.91285131982232404</v>
      </c>
      <c r="G266">
        <v>0.808782816035298</v>
      </c>
      <c r="H266">
        <v>0.83589991540494502</v>
      </c>
      <c r="I266">
        <v>0.49999957860574001</v>
      </c>
      <c r="J266">
        <v>0.85457494297068104</v>
      </c>
      <c r="K266">
        <v>0.91379478625442501</v>
      </c>
      <c r="L266">
        <f t="shared" si="33"/>
        <v>2.36626535371713E-3</v>
      </c>
      <c r="M266">
        <f t="shared" si="34"/>
        <v>2.0228920522274332E-2</v>
      </c>
      <c r="N266">
        <f t="shared" si="35"/>
        <v>1.1519136564798605E-2</v>
      </c>
      <c r="O266">
        <f t="shared" si="36"/>
        <v>1.0619365312250698E-5</v>
      </c>
      <c r="P266">
        <f t="shared" si="37"/>
        <v>9.2269142095991136E-4</v>
      </c>
      <c r="Q266">
        <f t="shared" si="38"/>
        <v>9.3345220505512944E-2</v>
      </c>
      <c r="R266">
        <f t="shared" si="39"/>
        <v>2.4059872298843273E-3</v>
      </c>
      <c r="S266">
        <f t="shared" si="40"/>
        <v>1.1722545991131346E-2</v>
      </c>
    </row>
    <row r="267" spans="1:19" x14ac:dyDescent="0.2">
      <c r="A267" t="s">
        <v>68</v>
      </c>
      <c r="B267" t="s">
        <v>25</v>
      </c>
      <c r="C267">
        <v>0.832639193263226</v>
      </c>
      <c r="D267">
        <v>0.70060499776914698</v>
      </c>
      <c r="E267">
        <v>0.76792642294160496</v>
      </c>
      <c r="F267">
        <v>0.82586498240258399</v>
      </c>
      <c r="G267">
        <v>0.65529640410015999</v>
      </c>
      <c r="H267">
        <v>0.69175367260121101</v>
      </c>
      <c r="I267">
        <v>0.49999998752599101</v>
      </c>
      <c r="J267">
        <v>0.71992492482291803</v>
      </c>
      <c r="K267">
        <v>9.2866397770196993</v>
      </c>
      <c r="L267">
        <f t="shared" si="33"/>
        <v>1.7433028779768676E-2</v>
      </c>
      <c r="M267">
        <f t="shared" si="34"/>
        <v>4.1877426426988763E-3</v>
      </c>
      <c r="N267">
        <f t="shared" si="35"/>
        <v>4.5889932784440089E-5</v>
      </c>
      <c r="O267">
        <f t="shared" si="36"/>
        <v>3.1450464868135679E-2</v>
      </c>
      <c r="P267">
        <f t="shared" si="37"/>
        <v>1.984872993220705E-2</v>
      </c>
      <c r="Q267">
        <f t="shared" si="38"/>
        <v>0.11064884119349855</v>
      </c>
      <c r="R267">
        <f t="shared" si="39"/>
        <v>1.2704506310033803E-2</v>
      </c>
      <c r="S267">
        <f t="shared" si="40"/>
        <v>71.470125870154789</v>
      </c>
    </row>
    <row r="268" spans="1:19" x14ac:dyDescent="0.2">
      <c r="A268" t="s">
        <v>68</v>
      </c>
      <c r="B268" t="s">
        <v>26</v>
      </c>
      <c r="C268">
        <v>0.80034892734430496</v>
      </c>
      <c r="D268">
        <v>0.71509082154459103</v>
      </c>
      <c r="E268">
        <v>0.80744784563343497</v>
      </c>
      <c r="F268">
        <v>0.86707300046599201</v>
      </c>
      <c r="G268">
        <v>0.71477480316023301</v>
      </c>
      <c r="H268">
        <v>0.69370639436673298</v>
      </c>
      <c r="I268">
        <v>0.49999983970699902</v>
      </c>
      <c r="J268">
        <v>0.67101897616253903</v>
      </c>
      <c r="K268" t="s">
        <v>13</v>
      </c>
      <c r="L268">
        <f t="shared" si="33"/>
        <v>7.2689446045552152E-3</v>
      </c>
      <c r="M268">
        <f t="shared" si="34"/>
        <v>5.0394640875744508E-5</v>
      </c>
      <c r="N268">
        <f t="shared" si="35"/>
        <v>4.452101933948239E-3</v>
      </c>
      <c r="O268">
        <f t="shared" si="36"/>
        <v>7.3229307298709684E-3</v>
      </c>
      <c r="P268">
        <f t="shared" si="37"/>
        <v>1.1372629839872528E-2</v>
      </c>
      <c r="Q268">
        <f t="shared" si="38"/>
        <v>9.0209574444562082E-2</v>
      </c>
      <c r="R268">
        <f t="shared" si="39"/>
        <v>1.6726236272677959E-2</v>
      </c>
      <c r="S268" t="e">
        <f t="shared" si="40"/>
        <v>#VALUE!</v>
      </c>
    </row>
    <row r="269" spans="1:19" x14ac:dyDescent="0.2">
      <c r="A269" t="s">
        <v>68</v>
      </c>
      <c r="B269" t="s">
        <v>27</v>
      </c>
      <c r="C269">
        <v>0.77642355652727901</v>
      </c>
      <c r="D269">
        <v>0.662810349073927</v>
      </c>
      <c r="E269">
        <v>0.75912148375689703</v>
      </c>
      <c r="F269">
        <v>0.81052724611927596</v>
      </c>
      <c r="G269">
        <v>0.63817835388769595</v>
      </c>
      <c r="H269">
        <v>0.67707275021560098</v>
      </c>
      <c r="I269">
        <v>0.49999969004993999</v>
      </c>
      <c r="J269">
        <v>0.69910654120215399</v>
      </c>
      <c r="K269">
        <v>3.9260325607695998</v>
      </c>
      <c r="L269">
        <f t="shared" si="33"/>
        <v>1.2907960907838403E-2</v>
      </c>
      <c r="M269">
        <f t="shared" si="34"/>
        <v>2.9936172215159362E-4</v>
      </c>
      <c r="N269">
        <f t="shared" si="35"/>
        <v>1.1630616437872806E-3</v>
      </c>
      <c r="O269">
        <f t="shared" si="36"/>
        <v>1.9111736052859384E-2</v>
      </c>
      <c r="P269">
        <f t="shared" si="37"/>
        <v>9.8705827147805639E-3</v>
      </c>
      <c r="Q269">
        <f t="shared" si="38"/>
        <v>7.6410153958281754E-2</v>
      </c>
      <c r="R269">
        <f t="shared" si="39"/>
        <v>5.9779208587856184E-3</v>
      </c>
      <c r="S269">
        <f t="shared" si="40"/>
        <v>9.9200368796043055</v>
      </c>
    </row>
    <row r="270" spans="1:19" x14ac:dyDescent="0.2">
      <c r="A270" t="s">
        <v>68</v>
      </c>
      <c r="B270" t="s">
        <v>28</v>
      </c>
      <c r="C270">
        <v>0.80560088032933297</v>
      </c>
      <c r="D270">
        <v>0.70477130343868399</v>
      </c>
      <c r="E270">
        <v>0.79165776057502901</v>
      </c>
      <c r="F270">
        <v>0.85234440820908297</v>
      </c>
      <c r="G270">
        <v>0.69479135300704298</v>
      </c>
      <c r="H270">
        <v>0.67789240375790505</v>
      </c>
      <c r="I270">
        <v>0.49999997785959399</v>
      </c>
      <c r="J270">
        <v>0.66794496338888598</v>
      </c>
      <c r="K270" s="1">
        <v>3.1793349336746602E+261</v>
      </c>
      <c r="L270">
        <f t="shared" si="33"/>
        <v>1.0166603575947293E-2</v>
      </c>
      <c r="M270">
        <f t="shared" si="34"/>
        <v>1.9441058848286121E-4</v>
      </c>
      <c r="N270">
        <f t="shared" si="35"/>
        <v>2.1849573986449655E-3</v>
      </c>
      <c r="O270">
        <f t="shared" si="36"/>
        <v>1.2278751345389333E-2</v>
      </c>
      <c r="P270">
        <f t="shared" si="37"/>
        <v>1.6309454988194954E-2</v>
      </c>
      <c r="Q270">
        <f t="shared" si="38"/>
        <v>9.3391911590318913E-2</v>
      </c>
      <c r="R270">
        <f t="shared" si="39"/>
        <v>1.8949151468715241E-2</v>
      </c>
      <c r="S270" t="e">
        <f t="shared" si="40"/>
        <v>#NUM!</v>
      </c>
    </row>
    <row r="271" spans="1:19" x14ac:dyDescent="0.2">
      <c r="A271" t="s">
        <v>68</v>
      </c>
      <c r="B271" t="s">
        <v>29</v>
      </c>
      <c r="C271">
        <v>0.79136838852637104</v>
      </c>
      <c r="D271">
        <v>0.66587777124273995</v>
      </c>
      <c r="E271">
        <v>0.74392659054106403</v>
      </c>
      <c r="F271">
        <v>0.80008646130984695</v>
      </c>
      <c r="G271">
        <v>0.62360604396918096</v>
      </c>
      <c r="H271">
        <v>0.67827135860718701</v>
      </c>
      <c r="I271">
        <v>0.49999992220163902</v>
      </c>
      <c r="J271">
        <v>0.70842638075472797</v>
      </c>
      <c r="K271">
        <v>0.68963927814380399</v>
      </c>
      <c r="L271">
        <f t="shared" si="33"/>
        <v>1.5747895026226769E-2</v>
      </c>
      <c r="M271">
        <f t="shared" si="34"/>
        <v>2.2507241960786802E-3</v>
      </c>
      <c r="N271">
        <f t="shared" si="35"/>
        <v>7.6004793057983514E-5</v>
      </c>
      <c r="O271">
        <f t="shared" si="36"/>
        <v>2.8144204251325362E-2</v>
      </c>
      <c r="P271">
        <f t="shared" si="37"/>
        <v>1.2790938176540806E-2</v>
      </c>
      <c r="Q271">
        <f t="shared" si="38"/>
        <v>8.4895583168426492E-2</v>
      </c>
      <c r="R271">
        <f t="shared" si="39"/>
        <v>6.8793766531912992E-3</v>
      </c>
      <c r="S271">
        <f t="shared" si="40"/>
        <v>1.0348811899228511E-2</v>
      </c>
    </row>
    <row r="272" spans="1:19" x14ac:dyDescent="0.2">
      <c r="A272" t="s">
        <v>68</v>
      </c>
      <c r="B272" t="s">
        <v>30</v>
      </c>
      <c r="C272">
        <v>0.87209563324540296</v>
      </c>
      <c r="D272">
        <v>0.71367143091263696</v>
      </c>
      <c r="E272">
        <v>0.865835378670613</v>
      </c>
      <c r="F272">
        <v>0.88087394852613199</v>
      </c>
      <c r="G272">
        <v>0.74254970624056005</v>
      </c>
      <c r="H272">
        <v>0.72474092053008099</v>
      </c>
      <c r="I272">
        <v>0.49999982484567801</v>
      </c>
      <c r="J272">
        <v>0.69530551382318595</v>
      </c>
      <c r="K272">
        <v>0.74278858564642702</v>
      </c>
      <c r="L272">
        <f t="shared" si="33"/>
        <v>2.5098227884773179E-2</v>
      </c>
      <c r="M272">
        <f t="shared" si="34"/>
        <v>3.9190787341178605E-5</v>
      </c>
      <c r="N272">
        <f t="shared" si="35"/>
        <v>7.7058819167880833E-5</v>
      </c>
      <c r="O272">
        <f t="shared" si="36"/>
        <v>1.6782147203544089E-2</v>
      </c>
      <c r="P272">
        <f t="shared" si="37"/>
        <v>2.1713411359415069E-2</v>
      </c>
      <c r="Q272">
        <f t="shared" si="38"/>
        <v>0.13845529062864481</v>
      </c>
      <c r="R272">
        <f t="shared" si="39"/>
        <v>3.1254746325321749E-2</v>
      </c>
      <c r="S272">
        <f t="shared" si="40"/>
        <v>1.6720312558763828E-2</v>
      </c>
    </row>
    <row r="273" spans="1:19" x14ac:dyDescent="0.2">
      <c r="A273" t="s">
        <v>68</v>
      </c>
      <c r="B273" t="s">
        <v>31</v>
      </c>
      <c r="C273">
        <v>0.81309640582538001</v>
      </c>
      <c r="D273">
        <v>0.66903780626424603</v>
      </c>
      <c r="E273">
        <v>0.80709676082505299</v>
      </c>
      <c r="F273">
        <v>0.83234459716680798</v>
      </c>
      <c r="G273">
        <v>0.67030350717367504</v>
      </c>
      <c r="H273">
        <v>0.70387594555692701</v>
      </c>
      <c r="I273">
        <v>0.499999990455264</v>
      </c>
      <c r="J273">
        <v>0.72398403281002799</v>
      </c>
      <c r="K273">
        <v>0.70839497376079696</v>
      </c>
      <c r="L273">
        <f t="shared" si="33"/>
        <v>2.0752880107515151E-2</v>
      </c>
      <c r="M273">
        <f t="shared" si="34"/>
        <v>3.5995740129948936E-5</v>
      </c>
      <c r="N273">
        <f t="shared" si="35"/>
        <v>3.7049286991622254E-4</v>
      </c>
      <c r="O273">
        <f t="shared" si="36"/>
        <v>2.0389811905356086E-2</v>
      </c>
      <c r="P273">
        <f t="shared" si="37"/>
        <v>1.1929108941252721E-2</v>
      </c>
      <c r="Q273">
        <f t="shared" si="38"/>
        <v>9.8029365317616218E-2</v>
      </c>
      <c r="R273">
        <f t="shared" si="39"/>
        <v>7.9410150244272389E-3</v>
      </c>
      <c r="S273">
        <f t="shared" si="40"/>
        <v>1.0962389876374498E-2</v>
      </c>
    </row>
    <row r="274" spans="1:19" x14ac:dyDescent="0.2">
      <c r="A274" t="s">
        <v>68</v>
      </c>
      <c r="B274" t="s">
        <v>32</v>
      </c>
      <c r="C274">
        <v>0.76509443438818503</v>
      </c>
      <c r="D274">
        <v>0.67168173605063197</v>
      </c>
      <c r="E274">
        <v>0.76734640330470605</v>
      </c>
      <c r="F274">
        <v>0.82405881617340704</v>
      </c>
      <c r="G274">
        <v>0.65642746445660904</v>
      </c>
      <c r="H274">
        <v>0.67862775602091097</v>
      </c>
      <c r="I274">
        <v>0.49999989285681101</v>
      </c>
      <c r="J274">
        <v>0.68909994697944399</v>
      </c>
      <c r="K274">
        <v>21343470.063131601</v>
      </c>
      <c r="L274">
        <f t="shared" si="33"/>
        <v>8.7259322107026884E-3</v>
      </c>
      <c r="M274">
        <f t="shared" si="34"/>
        <v>5.0713640009768519E-6</v>
      </c>
      <c r="N274">
        <f t="shared" si="35"/>
        <v>3.4767983193134209E-3</v>
      </c>
      <c r="O274">
        <f t="shared" si="36"/>
        <v>1.1808510354110039E-2</v>
      </c>
      <c r="P274">
        <f t="shared" si="37"/>
        <v>7.4764864678696207E-3</v>
      </c>
      <c r="Q274">
        <f t="shared" si="38"/>
        <v>7.0275115949729378E-2</v>
      </c>
      <c r="R274">
        <f t="shared" si="39"/>
        <v>5.7751621165173005E-3</v>
      </c>
      <c r="S274">
        <f t="shared" si="40"/>
        <v>455543681676255.19</v>
      </c>
    </row>
    <row r="275" spans="1:19" x14ac:dyDescent="0.2">
      <c r="A275" t="s">
        <v>68</v>
      </c>
      <c r="B275" t="s">
        <v>33</v>
      </c>
      <c r="C275">
        <v>0.83847747418010798</v>
      </c>
      <c r="D275">
        <v>0.77427410285770104</v>
      </c>
      <c r="E275">
        <v>0.84985955257537305</v>
      </c>
      <c r="F275">
        <v>0.89877967803810799</v>
      </c>
      <c r="G275">
        <v>0.77138521376921898</v>
      </c>
      <c r="H275">
        <v>0.74333920401211395</v>
      </c>
      <c r="I275">
        <v>0.49999999224151997</v>
      </c>
      <c r="J275">
        <v>0.72208812885247997</v>
      </c>
      <c r="K275" t="s">
        <v>13</v>
      </c>
      <c r="L275">
        <f t="shared" si="33"/>
        <v>4.1220728891628667E-3</v>
      </c>
      <c r="M275">
        <f t="shared" si="34"/>
        <v>1.2955170859595965E-4</v>
      </c>
      <c r="N275">
        <f t="shared" si="35"/>
        <v>3.6363557901317903E-3</v>
      </c>
      <c r="O275">
        <f t="shared" si="36"/>
        <v>4.5013714070425443E-3</v>
      </c>
      <c r="P275">
        <f t="shared" si="37"/>
        <v>9.0512904505582227E-3</v>
      </c>
      <c r="Q275">
        <f t="shared" si="38"/>
        <v>0.11456700577948717</v>
      </c>
      <c r="R275">
        <f t="shared" si="39"/>
        <v>1.3546479705793845E-2</v>
      </c>
      <c r="S275" t="e">
        <f t="shared" si="40"/>
        <v>#VALUE!</v>
      </c>
    </row>
    <row r="276" spans="1:19" x14ac:dyDescent="0.2">
      <c r="A276" t="s">
        <v>68</v>
      </c>
      <c r="B276" t="s">
        <v>34</v>
      </c>
      <c r="C276">
        <v>0.807525725267213</v>
      </c>
      <c r="D276">
        <v>0.76003797583602695</v>
      </c>
      <c r="E276">
        <v>0.91547308847015796</v>
      </c>
      <c r="F276">
        <v>0.91403675429852504</v>
      </c>
      <c r="G276">
        <v>0.80110637377807503</v>
      </c>
      <c r="H276">
        <v>0.76031153759615999</v>
      </c>
      <c r="I276">
        <v>0.499999763930848</v>
      </c>
      <c r="J276">
        <v>0.71478847605782703</v>
      </c>
      <c r="K276">
        <v>0.80118802093817199</v>
      </c>
      <c r="L276">
        <f t="shared" si="33"/>
        <v>2.2550863460391113E-3</v>
      </c>
      <c r="M276">
        <f t="shared" si="34"/>
        <v>1.1652633222468515E-2</v>
      </c>
      <c r="N276">
        <f t="shared" si="35"/>
        <v>1.1344599305308997E-2</v>
      </c>
      <c r="O276">
        <f t="shared" si="36"/>
        <v>4.1208073541097869E-5</v>
      </c>
      <c r="P276">
        <f t="shared" si="37"/>
        <v>2.2291795174374141E-3</v>
      </c>
      <c r="Q276">
        <f t="shared" si="38"/>
        <v>9.457221689585546E-2</v>
      </c>
      <c r="R276">
        <f t="shared" si="39"/>
        <v>8.600197390923759E-3</v>
      </c>
      <c r="S276">
        <f t="shared" si="40"/>
        <v>4.016649616234524E-5</v>
      </c>
    </row>
    <row r="277" spans="1:19" x14ac:dyDescent="0.2">
      <c r="A277" t="s">
        <v>68</v>
      </c>
      <c r="B277" t="s">
        <v>35</v>
      </c>
      <c r="C277">
        <v>0.75581271311360299</v>
      </c>
      <c r="D277">
        <v>0.648905511504691</v>
      </c>
      <c r="E277">
        <v>0.75528722299949402</v>
      </c>
      <c r="F277">
        <v>0.81753144593615401</v>
      </c>
      <c r="G277">
        <v>0.64639465840127797</v>
      </c>
      <c r="H277">
        <v>0.62111638536101099</v>
      </c>
      <c r="I277">
        <v>0.63436310861757494</v>
      </c>
      <c r="J277">
        <v>0.608227836095251</v>
      </c>
      <c r="K277" t="s">
        <v>13</v>
      </c>
      <c r="L277">
        <f t="shared" si="33"/>
        <v>1.1429149755848553E-2</v>
      </c>
      <c r="M277">
        <f t="shared" si="34"/>
        <v>2.7613986002624977E-7</v>
      </c>
      <c r="N277">
        <f t="shared" si="35"/>
        <v>3.8092019812214373E-3</v>
      </c>
      <c r="O277">
        <f t="shared" si="36"/>
        <v>1.1972310697029351E-2</v>
      </c>
      <c r="P277">
        <f t="shared" si="37"/>
        <v>1.8143100710033683E-2</v>
      </c>
      <c r="Q277">
        <f t="shared" si="38"/>
        <v>1.4750006432241634E-2</v>
      </c>
      <c r="R277">
        <f t="shared" si="39"/>
        <v>2.1781295924522083E-2</v>
      </c>
      <c r="S277" t="e">
        <f t="shared" si="40"/>
        <v>#VALUE!</v>
      </c>
    </row>
    <row r="278" spans="1:19" x14ac:dyDescent="0.2">
      <c r="A278" t="s">
        <v>68</v>
      </c>
      <c r="B278" t="s">
        <v>36</v>
      </c>
      <c r="C278">
        <v>0.81764263428560102</v>
      </c>
      <c r="D278">
        <v>0.72043717410536101</v>
      </c>
      <c r="E278">
        <v>0.81837166329449795</v>
      </c>
      <c r="F278">
        <v>0.87445082867978097</v>
      </c>
      <c r="G278">
        <v>0.72903408442574802</v>
      </c>
      <c r="H278">
        <v>0.71961338602387703</v>
      </c>
      <c r="I278">
        <v>0.49999962865348901</v>
      </c>
      <c r="J278">
        <v>0.69616876748617695</v>
      </c>
      <c r="K278" t="s">
        <v>13</v>
      </c>
      <c r="L278">
        <f t="shared" si="33"/>
        <v>9.4489014888522269E-3</v>
      </c>
      <c r="M278">
        <f t="shared" si="34"/>
        <v>5.314832958132414E-7</v>
      </c>
      <c r="N278">
        <f t="shared" si="35"/>
        <v>3.2271709503269379E-3</v>
      </c>
      <c r="O278">
        <f t="shared" si="36"/>
        <v>7.851475108266056E-3</v>
      </c>
      <c r="P278">
        <f t="shared" si="37"/>
        <v>9.6097335147587153E-3</v>
      </c>
      <c r="Q278">
        <f t="shared" si="38"/>
        <v>0.10089707902700194</v>
      </c>
      <c r="R278">
        <f t="shared" si="39"/>
        <v>1.4755900315204221E-2</v>
      </c>
      <c r="S278" t="e">
        <f t="shared" si="40"/>
        <v>#VALUE!</v>
      </c>
    </row>
    <row r="279" spans="1:19" x14ac:dyDescent="0.2">
      <c r="A279" t="s">
        <v>68</v>
      </c>
      <c r="B279" t="s">
        <v>37</v>
      </c>
      <c r="C279">
        <v>0.79795708100929297</v>
      </c>
      <c r="D279">
        <v>0.66671925823830902</v>
      </c>
      <c r="E279">
        <v>0.73542971699773196</v>
      </c>
      <c r="F279">
        <v>0.78966004001954204</v>
      </c>
      <c r="G279">
        <v>0.60912089754887999</v>
      </c>
      <c r="H279">
        <v>0.66793852293939004</v>
      </c>
      <c r="I279">
        <v>0.67463805903827301</v>
      </c>
      <c r="J279">
        <v>0.70556114723769303</v>
      </c>
      <c r="K279">
        <v>0.78944229049049497</v>
      </c>
      <c r="L279">
        <f t="shared" si="33"/>
        <v>1.7223366125668192E-2</v>
      </c>
      <c r="M279">
        <f t="shared" si="34"/>
        <v>3.9096712502342543E-3</v>
      </c>
      <c r="N279">
        <f t="shared" si="35"/>
        <v>6.884088918560702E-5</v>
      </c>
      <c r="O279">
        <f t="shared" si="36"/>
        <v>3.5659104183894751E-2</v>
      </c>
      <c r="P279">
        <f t="shared" si="37"/>
        <v>1.690482544257672E-2</v>
      </c>
      <c r="Q279">
        <f t="shared" si="38"/>
        <v>1.5207581179888904E-2</v>
      </c>
      <c r="R279">
        <f t="shared" si="39"/>
        <v>8.5370085775258817E-3</v>
      </c>
      <c r="S279">
        <f t="shared" si="40"/>
        <v>7.2501657579012295E-5</v>
      </c>
    </row>
    <row r="280" spans="1:19" x14ac:dyDescent="0.2">
      <c r="A280" t="s">
        <v>68</v>
      </c>
      <c r="B280" t="s">
        <v>38</v>
      </c>
      <c r="C280">
        <v>0.81025343897326296</v>
      </c>
      <c r="D280">
        <v>0.70760897637340003</v>
      </c>
      <c r="E280">
        <v>0.77804061052614604</v>
      </c>
      <c r="F280">
        <v>0.83311285623069498</v>
      </c>
      <c r="G280">
        <v>0.67436674207075198</v>
      </c>
      <c r="H280">
        <v>0.69837009655859195</v>
      </c>
      <c r="I280">
        <v>0.49999990660604299</v>
      </c>
      <c r="J280">
        <v>0.71888231498270205</v>
      </c>
      <c r="K280">
        <v>85.334131264611599</v>
      </c>
      <c r="L280">
        <f t="shared" si="33"/>
        <v>1.0535885702414659E-2</v>
      </c>
      <c r="M280">
        <f t="shared" si="34"/>
        <v>1.0376663165633856E-3</v>
      </c>
      <c r="N280">
        <f t="shared" si="35"/>
        <v>5.2255295734938056E-4</v>
      </c>
      <c r="O280">
        <f t="shared" si="36"/>
        <v>1.8465194395074887E-2</v>
      </c>
      <c r="P280">
        <f t="shared" si="37"/>
        <v>1.2517882309878523E-2</v>
      </c>
      <c r="Q280">
        <f t="shared" si="38"/>
        <v>9.6257254346337612E-2</v>
      </c>
      <c r="R280">
        <f t="shared" si="39"/>
        <v>8.3486822992984554E-3</v>
      </c>
      <c r="S280">
        <f t="shared" si="40"/>
        <v>7144.2859226834362</v>
      </c>
    </row>
    <row r="281" spans="1:19" x14ac:dyDescent="0.2">
      <c r="A281" t="s">
        <v>68</v>
      </c>
      <c r="B281" t="s">
        <v>39</v>
      </c>
      <c r="C281">
        <v>0.76278409086020005</v>
      </c>
      <c r="D281">
        <v>0.62471856879370002</v>
      </c>
      <c r="E281">
        <v>0.70682309090709505</v>
      </c>
      <c r="F281">
        <v>0.76203917652410302</v>
      </c>
      <c r="G281">
        <v>0.57493242773304598</v>
      </c>
      <c r="H281">
        <v>0.62288264200631405</v>
      </c>
      <c r="I281">
        <v>0.63188149556371997</v>
      </c>
      <c r="J281">
        <v>0.66208314983729499</v>
      </c>
      <c r="K281">
        <v>1.28464644923001</v>
      </c>
      <c r="L281">
        <f t="shared" si="33"/>
        <v>1.9062088383495206E-2</v>
      </c>
      <c r="M281">
        <f t="shared" si="34"/>
        <v>3.1316335157514173E-3</v>
      </c>
      <c r="N281">
        <f t="shared" si="35"/>
        <v>5.5489736812287077E-7</v>
      </c>
      <c r="O281">
        <f t="shared" si="36"/>
        <v>3.5288247339637778E-2</v>
      </c>
      <c r="P281">
        <f t="shared" si="37"/>
        <v>1.9572415391416482E-2</v>
      </c>
      <c r="Q281">
        <f t="shared" si="38"/>
        <v>1.7135489455354046E-2</v>
      </c>
      <c r="R281">
        <f t="shared" si="39"/>
        <v>1.0140679522898603E-2</v>
      </c>
      <c r="S281">
        <f t="shared" si="40"/>
        <v>0.27234032108329997</v>
      </c>
    </row>
    <row r="282" spans="1:19" x14ac:dyDescent="0.2">
      <c r="A282" t="s">
        <v>68</v>
      </c>
      <c r="B282" t="s">
        <v>40</v>
      </c>
      <c r="C282">
        <v>0.82163978493661505</v>
      </c>
      <c r="D282">
        <v>0.714648696309099</v>
      </c>
      <c r="E282">
        <v>0.79782369768484596</v>
      </c>
      <c r="F282">
        <v>0.84889384342534902</v>
      </c>
      <c r="G282">
        <v>0.69053413232545202</v>
      </c>
      <c r="H282">
        <v>0.72544897306446898</v>
      </c>
      <c r="I282">
        <v>0.49999985908269001</v>
      </c>
      <c r="J282">
        <v>0.73327144269491895</v>
      </c>
      <c r="K282">
        <v>2412666.5465620998</v>
      </c>
      <c r="L282">
        <f t="shared" si="33"/>
        <v>1.1447093045700995E-2</v>
      </c>
      <c r="M282">
        <f t="shared" si="34"/>
        <v>5.6720601198387819E-4</v>
      </c>
      <c r="N282">
        <f t="shared" si="35"/>
        <v>7.4278370410733202E-4</v>
      </c>
      <c r="O282">
        <f t="shared" si="36"/>
        <v>1.7188692146598957E-2</v>
      </c>
      <c r="P282">
        <f t="shared" si="37"/>
        <v>9.2526722886225963E-3</v>
      </c>
      <c r="Q282">
        <f t="shared" si="38"/>
        <v>0.10345224190331839</v>
      </c>
      <c r="R282">
        <f t="shared" si="39"/>
        <v>7.8089639105455308E-3</v>
      </c>
      <c r="S282">
        <f t="shared" si="40"/>
        <v>5820955900214.9189</v>
      </c>
    </row>
    <row r="283" spans="1:19" x14ac:dyDescent="0.2">
      <c r="A283" t="s">
        <v>68</v>
      </c>
      <c r="B283" t="s">
        <v>41</v>
      </c>
      <c r="C283">
        <v>0.80625424879894503</v>
      </c>
      <c r="D283">
        <v>0.72900067974691996</v>
      </c>
      <c r="E283">
        <v>0.81732256711488604</v>
      </c>
      <c r="F283">
        <v>0.87732270620809105</v>
      </c>
      <c r="G283">
        <v>0.73111522537473705</v>
      </c>
      <c r="H283">
        <v>0.67529654739834</v>
      </c>
      <c r="I283">
        <v>0.49999992730617399</v>
      </c>
      <c r="J283">
        <v>0.64673072148718502</v>
      </c>
      <c r="K283" t="s">
        <v>13</v>
      </c>
      <c r="L283">
        <f t="shared" si="33"/>
        <v>5.9681139312760057E-3</v>
      </c>
      <c r="M283">
        <f t="shared" si="34"/>
        <v>1.2250767034299538E-4</v>
      </c>
      <c r="N283">
        <f t="shared" si="35"/>
        <v>5.0507256385156022E-3</v>
      </c>
      <c r="O283">
        <f t="shared" si="36"/>
        <v>5.6458728411436744E-3</v>
      </c>
      <c r="P283">
        <f t="shared" si="37"/>
        <v>1.714991955613003E-2</v>
      </c>
      <c r="Q283">
        <f t="shared" si="38"/>
        <v>9.3791709432997569E-2</v>
      </c>
      <c r="R283">
        <f t="shared" si="39"/>
        <v>2.544775576598584E-2</v>
      </c>
      <c r="S283" t="e">
        <f t="shared" si="40"/>
        <v>#VALUE!</v>
      </c>
    </row>
    <row r="284" spans="1:19" x14ac:dyDescent="0.2">
      <c r="A284" t="s">
        <v>68</v>
      </c>
      <c r="B284" t="s">
        <v>42</v>
      </c>
      <c r="C284">
        <v>0.77894971953583203</v>
      </c>
      <c r="D284">
        <v>0.68472526919849597</v>
      </c>
      <c r="E284">
        <v>0.78689477611754499</v>
      </c>
      <c r="F284">
        <v>0.84654949321026396</v>
      </c>
      <c r="G284">
        <v>0.68648910628778603</v>
      </c>
      <c r="H284">
        <v>0.66607908376640701</v>
      </c>
      <c r="I284">
        <v>0.49999990348560502</v>
      </c>
      <c r="J284">
        <v>0.64984585211175205</v>
      </c>
      <c r="K284" t="s">
        <v>13</v>
      </c>
      <c r="L284">
        <f t="shared" si="33"/>
        <v>8.8782470413731104E-3</v>
      </c>
      <c r="M284">
        <f t="shared" si="34"/>
        <v>6.3123924086620441E-5</v>
      </c>
      <c r="N284">
        <f t="shared" si="35"/>
        <v>4.5697294008344201E-3</v>
      </c>
      <c r="O284">
        <f t="shared" si="36"/>
        <v>8.5489650022047385E-3</v>
      </c>
      <c r="P284">
        <f t="shared" si="37"/>
        <v>1.2739780418994207E-2</v>
      </c>
      <c r="Q284">
        <f t="shared" si="38"/>
        <v>7.7812999874455488E-2</v>
      </c>
      <c r="R284">
        <f t="shared" si="39"/>
        <v>1.6667808583854419E-2</v>
      </c>
      <c r="S284" t="e">
        <f t="shared" si="40"/>
        <v>#VALUE!</v>
      </c>
    </row>
    <row r="285" spans="1:19" x14ac:dyDescent="0.2">
      <c r="A285" t="s">
        <v>68</v>
      </c>
      <c r="B285" t="s">
        <v>43</v>
      </c>
      <c r="C285">
        <v>0.78389835640356298</v>
      </c>
      <c r="D285">
        <v>0.69967596600292503</v>
      </c>
      <c r="E285">
        <v>0.79916103882768696</v>
      </c>
      <c r="F285">
        <v>0.854034815229057</v>
      </c>
      <c r="G285">
        <v>0.69911800132940805</v>
      </c>
      <c r="H285">
        <v>0.70705288401583</v>
      </c>
      <c r="I285">
        <v>0.49999981786153602</v>
      </c>
      <c r="J285">
        <v>0.704937264790929</v>
      </c>
      <c r="K285" t="s">
        <v>13</v>
      </c>
      <c r="L285">
        <f t="shared" si="33"/>
        <v>7.0934110447974713E-3</v>
      </c>
      <c r="M285">
        <f t="shared" si="34"/>
        <v>2.3294947477966321E-4</v>
      </c>
      <c r="N285">
        <f t="shared" si="35"/>
        <v>4.9191228565802179E-3</v>
      </c>
      <c r="O285">
        <f t="shared" si="36"/>
        <v>7.187708606499788E-3</v>
      </c>
      <c r="P285">
        <f t="shared" si="37"/>
        <v>5.905226626493832E-3</v>
      </c>
      <c r="Q285">
        <f t="shared" si="38"/>
        <v>8.0598380186298765E-2</v>
      </c>
      <c r="R285">
        <f t="shared" si="39"/>
        <v>6.2348539886587766E-3</v>
      </c>
      <c r="S285" t="e">
        <f t="shared" si="40"/>
        <v>#VALUE!</v>
      </c>
    </row>
    <row r="286" spans="1:19" x14ac:dyDescent="0.2">
      <c r="A286" t="s">
        <v>68</v>
      </c>
      <c r="B286" t="s">
        <v>44</v>
      </c>
      <c r="C286">
        <v>0.85370742897962804</v>
      </c>
      <c r="D286">
        <v>0.73383320374043004</v>
      </c>
      <c r="E286">
        <v>0.82848283866951999</v>
      </c>
      <c r="F286">
        <v>0.86717780201601402</v>
      </c>
      <c r="G286">
        <v>0.72421097780857402</v>
      </c>
      <c r="H286">
        <v>0.733169202026279</v>
      </c>
      <c r="I286">
        <v>0.499999919432005</v>
      </c>
      <c r="J286">
        <v>0.72936550198099304</v>
      </c>
      <c r="K286" t="s">
        <v>13</v>
      </c>
      <c r="L286">
        <f t="shared" si="33"/>
        <v>1.4369829876697974E-2</v>
      </c>
      <c r="M286">
        <f t="shared" si="34"/>
        <v>6.3627995631279654E-4</v>
      </c>
      <c r="N286">
        <f t="shared" si="35"/>
        <v>1.814509497393946E-4</v>
      </c>
      <c r="O286">
        <f t="shared" si="36"/>
        <v>1.6769330865897176E-2</v>
      </c>
      <c r="P286">
        <f t="shared" si="37"/>
        <v>1.452946415705708E-2</v>
      </c>
      <c r="Q286">
        <f t="shared" si="38"/>
        <v>0.12510900231038183</v>
      </c>
      <c r="R286">
        <f t="shared" si="39"/>
        <v>1.5460914809733875E-2</v>
      </c>
      <c r="S286" t="e">
        <f t="shared" si="40"/>
        <v>#VALUE!</v>
      </c>
    </row>
    <row r="287" spans="1:19" x14ac:dyDescent="0.2">
      <c r="A287" t="s">
        <v>68</v>
      </c>
      <c r="B287" t="s">
        <v>45</v>
      </c>
      <c r="C287">
        <v>0.80233475927950704</v>
      </c>
      <c r="D287">
        <v>0.75275859413845703</v>
      </c>
      <c r="E287">
        <v>0.91825967956722898</v>
      </c>
      <c r="F287">
        <v>0.90597082361581605</v>
      </c>
      <c r="G287">
        <v>0.79161101716788995</v>
      </c>
      <c r="H287">
        <v>0.80884144597452001</v>
      </c>
      <c r="I287">
        <v>0.499999887798452</v>
      </c>
      <c r="J287">
        <v>0.81340354670205695</v>
      </c>
      <c r="K287">
        <v>0.810510709962728</v>
      </c>
      <c r="L287">
        <f t="shared" si="33"/>
        <v>2.4577961500926622E-3</v>
      </c>
      <c r="M287">
        <f t="shared" si="34"/>
        <v>1.3438587143714686E-2</v>
      </c>
      <c r="N287">
        <f t="shared" si="35"/>
        <v>1.074043383111958E-2</v>
      </c>
      <c r="O287">
        <f t="shared" si="36"/>
        <v>1.1499864487646966E-4</v>
      </c>
      <c r="P287">
        <f t="shared" si="37"/>
        <v>4.2336971747058874E-5</v>
      </c>
      <c r="Q287">
        <f t="shared" si="38"/>
        <v>9.140637451346606E-2</v>
      </c>
      <c r="R287">
        <f t="shared" si="39"/>
        <v>1.2251805500559904E-4</v>
      </c>
      <c r="S287">
        <f t="shared" si="40"/>
        <v>6.6846169574461396E-5</v>
      </c>
    </row>
    <row r="288" spans="1:19" x14ac:dyDescent="0.2">
      <c r="A288" t="s">
        <v>68</v>
      </c>
      <c r="B288" t="s">
        <v>46</v>
      </c>
      <c r="C288">
        <v>0.82287464122109599</v>
      </c>
      <c r="D288">
        <v>0.72062136211935002</v>
      </c>
      <c r="E288">
        <v>0.79012852356360896</v>
      </c>
      <c r="F288">
        <v>0.84325285104613901</v>
      </c>
      <c r="G288">
        <v>0.68268332050162195</v>
      </c>
      <c r="H288">
        <v>0.73171056290096603</v>
      </c>
      <c r="I288">
        <v>0.49999995633442901</v>
      </c>
      <c r="J288">
        <v>0.75763585668891897</v>
      </c>
      <c r="K288">
        <v>0.74139687061323201</v>
      </c>
      <c r="L288">
        <f t="shared" si="33"/>
        <v>1.0455733087059561E-2</v>
      </c>
      <c r="M288">
        <f t="shared" si="34"/>
        <v>1.0723082216379837E-3</v>
      </c>
      <c r="N288">
        <f t="shared" si="35"/>
        <v>4.1527143567347965E-4</v>
      </c>
      <c r="O288">
        <f t="shared" si="36"/>
        <v>1.9653606405070433E-2</v>
      </c>
      <c r="P288">
        <f t="shared" si="37"/>
        <v>8.3108891759587893E-3</v>
      </c>
      <c r="Q288">
        <f t="shared" si="38"/>
        <v>0.1042480621406645</v>
      </c>
      <c r="R288">
        <f t="shared" si="39"/>
        <v>4.2560990072358197E-3</v>
      </c>
      <c r="S288">
        <f t="shared" si="40"/>
        <v>6.6386271032277044E-3</v>
      </c>
    </row>
    <row r="289" spans="1:19" x14ac:dyDescent="0.2">
      <c r="A289" t="s">
        <v>68</v>
      </c>
      <c r="B289" t="s">
        <v>47</v>
      </c>
      <c r="C289">
        <v>0.5</v>
      </c>
      <c r="D289">
        <v>0.83994081177608804</v>
      </c>
      <c r="E289">
        <v>0.98914510645929599</v>
      </c>
      <c r="F289">
        <v>0.86062921997665398</v>
      </c>
      <c r="G289">
        <v>0.70643830419179798</v>
      </c>
      <c r="H289">
        <v>0.752927702217291</v>
      </c>
      <c r="I289">
        <v>0.75640855112539995</v>
      </c>
      <c r="J289">
        <v>0.78576132381692099</v>
      </c>
      <c r="K289" s="1">
        <v>2.2857637521570601E+104</v>
      </c>
      <c r="L289">
        <f t="shared" si="33"/>
        <v>0.11555975551098571</v>
      </c>
      <c r="M289">
        <f t="shared" si="34"/>
        <v>0.23926293517307601</v>
      </c>
      <c r="N289">
        <f t="shared" si="35"/>
        <v>0.13005343430096988</v>
      </c>
      <c r="O289">
        <f t="shared" si="36"/>
        <v>4.2616773437585319E-2</v>
      </c>
      <c r="P289">
        <f t="shared" si="37"/>
        <v>6.3972422548918634E-2</v>
      </c>
      <c r="Q289">
        <f t="shared" si="38"/>
        <v>6.5745345090226837E-2</v>
      </c>
      <c r="R289">
        <f t="shared" si="39"/>
        <v>8.1659534189599176E-2</v>
      </c>
      <c r="S289">
        <f t="shared" si="40"/>
        <v>5.2247159306751221E+208</v>
      </c>
    </row>
    <row r="290" spans="1:19" x14ac:dyDescent="0.2">
      <c r="A290" t="s">
        <v>68</v>
      </c>
      <c r="B290" t="s">
        <v>48</v>
      </c>
      <c r="C290">
        <v>0.78676528992828998</v>
      </c>
      <c r="D290">
        <v>0.67556109353500005</v>
      </c>
      <c r="E290">
        <v>0.76925322173994903</v>
      </c>
      <c r="F290">
        <v>0.829925735873697</v>
      </c>
      <c r="G290">
        <v>0.65823947287323104</v>
      </c>
      <c r="H290">
        <v>0.66493341449041898</v>
      </c>
      <c r="I290">
        <v>0.49999954361689503</v>
      </c>
      <c r="J290">
        <v>0.669733104075659</v>
      </c>
      <c r="K290" s="1">
        <v>2.7927044415126598E+25</v>
      </c>
      <c r="L290">
        <f t="shared" si="33"/>
        <v>1.2366373295477398E-2</v>
      </c>
      <c r="M290">
        <f t="shared" si="34"/>
        <v>3.0667253223310293E-4</v>
      </c>
      <c r="N290">
        <f t="shared" si="35"/>
        <v>1.8628240942064015E-3</v>
      </c>
      <c r="O290">
        <f t="shared" si="36"/>
        <v>1.6518885649670481E-2</v>
      </c>
      <c r="P290">
        <f t="shared" si="37"/>
        <v>1.4843005872708913E-2</v>
      </c>
      <c r="Q290">
        <f t="shared" si="38"/>
        <v>8.2234593257531324E-2</v>
      </c>
      <c r="R290">
        <f t="shared" si="39"/>
        <v>1.3696532525444758E-2</v>
      </c>
      <c r="S290">
        <f t="shared" si="40"/>
        <v>7.799198097644538E+50</v>
      </c>
    </row>
    <row r="291" spans="1:19" x14ac:dyDescent="0.2">
      <c r="A291" t="s">
        <v>68</v>
      </c>
      <c r="B291" t="s">
        <v>49</v>
      </c>
      <c r="C291">
        <v>0.80967387870441998</v>
      </c>
      <c r="D291">
        <v>0.68269877433702297</v>
      </c>
      <c r="E291">
        <v>0.75629519278130197</v>
      </c>
      <c r="F291">
        <v>0.80844943154023996</v>
      </c>
      <c r="G291">
        <v>0.63639195661812697</v>
      </c>
      <c r="H291">
        <v>0.69681724764029396</v>
      </c>
      <c r="I291">
        <v>0.49999962146988097</v>
      </c>
      <c r="J291">
        <v>0.73768321176762197</v>
      </c>
      <c r="K291">
        <v>0.83153308961832995</v>
      </c>
      <c r="L291">
        <f t="shared" si="33"/>
        <v>1.6122677129111362E-2</v>
      </c>
      <c r="M291">
        <f t="shared" si="34"/>
        <v>2.8492841108788765E-3</v>
      </c>
      <c r="N291">
        <f t="shared" si="35"/>
        <v>1.4992708578684936E-6</v>
      </c>
      <c r="O291">
        <f t="shared" si="36"/>
        <v>3.002662452192012E-2</v>
      </c>
      <c r="P291">
        <f t="shared" si="37"/>
        <v>1.2736619175144254E-2</v>
      </c>
      <c r="Q291">
        <f t="shared" si="38"/>
        <v>9.5898145593763431E-2</v>
      </c>
      <c r="R291">
        <f t="shared" si="39"/>
        <v>5.1826561260049824E-3</v>
      </c>
      <c r="S291">
        <f t="shared" si="40"/>
        <v>4.7782510177880053E-4</v>
      </c>
    </row>
    <row r="292" spans="1:19" x14ac:dyDescent="0.2">
      <c r="A292" t="s">
        <v>68</v>
      </c>
      <c r="B292" t="s">
        <v>50</v>
      </c>
      <c r="C292">
        <v>0.91319767253975903</v>
      </c>
      <c r="D292">
        <v>0.75387770695077705</v>
      </c>
      <c r="E292">
        <v>0.88601500302321401</v>
      </c>
      <c r="F292">
        <v>0.91380566051272305</v>
      </c>
      <c r="G292">
        <v>0.80055215576485905</v>
      </c>
      <c r="H292">
        <v>0.73970691736144001</v>
      </c>
      <c r="I292">
        <v>0.49999994657796898</v>
      </c>
      <c r="J292">
        <v>0.683388776263259</v>
      </c>
      <c r="K292">
        <v>0.80098824806526303</v>
      </c>
      <c r="L292">
        <f t="shared" si="33"/>
        <v>2.5382851435274401E-2</v>
      </c>
      <c r="M292">
        <f t="shared" si="34"/>
        <v>7.38897522045706E-4</v>
      </c>
      <c r="N292">
        <f t="shared" si="35"/>
        <v>3.6964937526889695E-7</v>
      </c>
      <c r="O292">
        <f t="shared" si="36"/>
        <v>1.2689012449484272E-2</v>
      </c>
      <c r="P292">
        <f t="shared" si="37"/>
        <v>3.0099042132343427E-2</v>
      </c>
      <c r="Q292">
        <f t="shared" si="38"/>
        <v>0.17073236073999454</v>
      </c>
      <c r="R292">
        <f t="shared" si="39"/>
        <v>5.2812128807823149E-2</v>
      </c>
      <c r="S292">
        <f t="shared" si="40"/>
        <v>1.2590954940897622E-2</v>
      </c>
    </row>
    <row r="293" spans="1:19" x14ac:dyDescent="0.2">
      <c r="A293" t="s">
        <v>68</v>
      </c>
      <c r="B293" t="s">
        <v>51</v>
      </c>
      <c r="C293">
        <v>0.77859796560905803</v>
      </c>
      <c r="D293">
        <v>0.72505661476412697</v>
      </c>
      <c r="E293">
        <v>0.91947364344899396</v>
      </c>
      <c r="F293">
        <v>0.89096758448749303</v>
      </c>
      <c r="G293">
        <v>0.76760920578077596</v>
      </c>
      <c r="H293">
        <v>0.80591352506802705</v>
      </c>
      <c r="I293">
        <v>0.49999994269299702</v>
      </c>
      <c r="J293">
        <v>0.82801235511765203</v>
      </c>
      <c r="K293">
        <v>0.81443139140935195</v>
      </c>
      <c r="L293">
        <f t="shared" si="33"/>
        <v>2.8666762502999998E-3</v>
      </c>
      <c r="M293">
        <f t="shared" si="34"/>
        <v>1.9845956606861417E-2</v>
      </c>
      <c r="N293">
        <f t="shared" si="35"/>
        <v>1.2626931246884734E-2</v>
      </c>
      <c r="O293">
        <f t="shared" si="36"/>
        <v>1.2075284256366575E-4</v>
      </c>
      <c r="P293">
        <f t="shared" si="37"/>
        <v>7.4613978855647179E-4</v>
      </c>
      <c r="Q293">
        <f t="shared" si="38"/>
        <v>7.761685837273806E-2</v>
      </c>
      <c r="R293">
        <f t="shared" si="39"/>
        <v>2.4417818905070449E-3</v>
      </c>
      <c r="S293">
        <f t="shared" si="40"/>
        <v>1.2840344045851697E-3</v>
      </c>
    </row>
    <row r="294" spans="1:19" x14ac:dyDescent="0.2">
      <c r="A294" t="s">
        <v>68</v>
      </c>
      <c r="B294" t="s">
        <v>52</v>
      </c>
      <c r="C294">
        <v>0.79952593023414797</v>
      </c>
      <c r="D294">
        <v>0.71959201269586504</v>
      </c>
      <c r="E294">
        <v>0.795804154969183</v>
      </c>
      <c r="F294">
        <v>0.85299155164336005</v>
      </c>
      <c r="G294">
        <v>0.697449579880278</v>
      </c>
      <c r="H294">
        <v>0.69493809626279501</v>
      </c>
      <c r="I294">
        <v>0.49999974512790202</v>
      </c>
      <c r="J294">
        <v>0.69889637004745198</v>
      </c>
      <c r="K294" s="1">
        <v>8.8263872904244296E+18</v>
      </c>
      <c r="L294">
        <f t="shared" si="33"/>
        <v>6.3894311730170166E-3</v>
      </c>
      <c r="M294">
        <f t="shared" si="34"/>
        <v>1.3851611122905126E-5</v>
      </c>
      <c r="N294">
        <f t="shared" si="35"/>
        <v>2.8585726726731964E-3</v>
      </c>
      <c r="O294">
        <f t="shared" si="36"/>
        <v>1.0419581301566011E-2</v>
      </c>
      <c r="P294">
        <f t="shared" si="37"/>
        <v>1.0938615014819292E-2</v>
      </c>
      <c r="Q294">
        <f t="shared" si="38"/>
        <v>8.9715935564301116E-2</v>
      </c>
      <c r="R294">
        <f t="shared" si="39"/>
        <v>1.0126308383367873E-2</v>
      </c>
      <c r="S294">
        <f t="shared" si="40"/>
        <v>7.7905112600565899E+37</v>
      </c>
    </row>
    <row r="295" spans="1:19" x14ac:dyDescent="0.2">
      <c r="A295" t="s">
        <v>68</v>
      </c>
      <c r="B295" t="s">
        <v>53</v>
      </c>
      <c r="C295">
        <v>0.80239967079129604</v>
      </c>
      <c r="D295">
        <v>0.68808396292430096</v>
      </c>
      <c r="E295">
        <v>0.74869885685750504</v>
      </c>
      <c r="F295">
        <v>0.80247670656703296</v>
      </c>
      <c r="G295">
        <v>0.62700965736681002</v>
      </c>
      <c r="H295">
        <v>0.68402214069400902</v>
      </c>
      <c r="I295">
        <v>0.49999973524474101</v>
      </c>
      <c r="J295">
        <v>0.72108521049482599</v>
      </c>
      <c r="K295">
        <v>2.1649470653493599</v>
      </c>
      <c r="L295">
        <f t="shared" si="33"/>
        <v>1.3068081065132161E-2</v>
      </c>
      <c r="M295">
        <f t="shared" si="34"/>
        <v>2.8837774171516419E-3</v>
      </c>
      <c r="N295">
        <f t="shared" si="35"/>
        <v>5.9345107433893738E-9</v>
      </c>
      <c r="O295">
        <f t="shared" si="36"/>
        <v>3.0761656809041384E-2</v>
      </c>
      <c r="P295">
        <f t="shared" si="37"/>
        <v>1.4013239631934094E-2</v>
      </c>
      <c r="Q295">
        <f t="shared" si="38"/>
        <v>9.1445721018560633E-2</v>
      </c>
      <c r="R295">
        <f t="shared" si="39"/>
        <v>6.6120414533062041E-3</v>
      </c>
      <c r="S295">
        <f t="shared" si="40"/>
        <v>1.8565354024169678</v>
      </c>
    </row>
    <row r="296" spans="1:19" x14ac:dyDescent="0.2">
      <c r="A296" t="s">
        <v>68</v>
      </c>
      <c r="B296" t="s">
        <v>54</v>
      </c>
      <c r="C296">
        <v>0.75512665856404004</v>
      </c>
      <c r="D296">
        <v>0.64145991577466399</v>
      </c>
      <c r="E296">
        <v>0.74469160278473101</v>
      </c>
      <c r="F296">
        <v>0.79807412103277897</v>
      </c>
      <c r="G296">
        <v>0.61979832368139098</v>
      </c>
      <c r="H296">
        <v>0.64712475388473401</v>
      </c>
      <c r="I296">
        <v>0.65659065004735095</v>
      </c>
      <c r="J296">
        <v>0.6629912191724</v>
      </c>
      <c r="K296">
        <v>377085.997709997</v>
      </c>
      <c r="L296">
        <f t="shared" si="33"/>
        <v>1.2920128416346172E-2</v>
      </c>
      <c r="M296">
        <f t="shared" si="34"/>
        <v>1.0889038911729085E-4</v>
      </c>
      <c r="N296">
        <f t="shared" si="35"/>
        <v>1.8444845325037388E-3</v>
      </c>
      <c r="O296">
        <f t="shared" si="36"/>
        <v>1.8313758222110409E-2</v>
      </c>
      <c r="P296">
        <f t="shared" si="37"/>
        <v>1.1664411414357907E-2</v>
      </c>
      <c r="Q296">
        <f t="shared" si="38"/>
        <v>9.7093449744010251E-3</v>
      </c>
      <c r="R296">
        <f t="shared" si="39"/>
        <v>8.4889391918905755E-3</v>
      </c>
      <c r="S296">
        <f t="shared" si="40"/>
        <v>142193280174.13522</v>
      </c>
    </row>
    <row r="297" spans="1:19" x14ac:dyDescent="0.2">
      <c r="A297" t="s">
        <v>68</v>
      </c>
      <c r="B297" t="s">
        <v>55</v>
      </c>
      <c r="C297">
        <v>0.81509928717311597</v>
      </c>
      <c r="D297">
        <v>0.71440270128019201</v>
      </c>
      <c r="E297">
        <v>0.77359203150696898</v>
      </c>
      <c r="F297">
        <v>0.82492050064362799</v>
      </c>
      <c r="G297">
        <v>0.65717549570700196</v>
      </c>
      <c r="H297">
        <v>0.72424898465880705</v>
      </c>
      <c r="I297">
        <v>0.49999983890008898</v>
      </c>
      <c r="J297">
        <v>0.76290333788738296</v>
      </c>
      <c r="K297">
        <v>0.79192233594802597</v>
      </c>
      <c r="L297">
        <f t="shared" si="33"/>
        <v>1.0139802410491013E-2</v>
      </c>
      <c r="M297">
        <f t="shared" si="34"/>
        <v>1.7228522729348915E-3</v>
      </c>
      <c r="N297">
        <f t="shared" si="35"/>
        <v>9.6456234033366633E-5</v>
      </c>
      <c r="O297">
        <f t="shared" si="36"/>
        <v>2.4939923911032665E-2</v>
      </c>
      <c r="P297">
        <f t="shared" si="37"/>
        <v>8.2537774669414459E-3</v>
      </c>
      <c r="Q297">
        <f t="shared" si="38"/>
        <v>9.928766230196602E-2</v>
      </c>
      <c r="R297">
        <f t="shared" si="39"/>
        <v>2.7244171218388127E-3</v>
      </c>
      <c r="S297">
        <f t="shared" si="40"/>
        <v>5.3717106809020104E-4</v>
      </c>
    </row>
    <row r="298" spans="1:19" x14ac:dyDescent="0.2">
      <c r="A298" t="s">
        <v>68</v>
      </c>
      <c r="B298" t="s">
        <v>56</v>
      </c>
      <c r="C298">
        <v>0.864643251016874</v>
      </c>
      <c r="D298">
        <v>0.74923064030242104</v>
      </c>
      <c r="E298">
        <v>0.78833784186320299</v>
      </c>
      <c r="F298">
        <v>0.840478348566157</v>
      </c>
      <c r="G298">
        <v>0.67887633053950103</v>
      </c>
      <c r="H298">
        <v>0.73505815797420204</v>
      </c>
      <c r="I298">
        <v>0.49999984100828598</v>
      </c>
      <c r="J298">
        <v>0.77025613993017295</v>
      </c>
      <c r="K298">
        <v>2.0283866325259501</v>
      </c>
      <c r="L298">
        <f t="shared" si="33"/>
        <v>1.3320070711925864E-2</v>
      </c>
      <c r="M298">
        <f t="shared" si="34"/>
        <v>5.8225154661091395E-3</v>
      </c>
      <c r="N298">
        <f t="shared" si="35"/>
        <v>5.839425104526688E-4</v>
      </c>
      <c r="O298">
        <f t="shared" si="36"/>
        <v>3.4509348743646619E-2</v>
      </c>
      <c r="P298">
        <f t="shared" si="37"/>
        <v>1.6792296338877948E-2</v>
      </c>
      <c r="Q298">
        <f t="shared" si="38"/>
        <v>0.13296481646269123</v>
      </c>
      <c r="R298">
        <f t="shared" si="39"/>
        <v>8.9089267392932457E-3</v>
      </c>
      <c r="S298">
        <f t="shared" si="40"/>
        <v>1.3542986580061791</v>
      </c>
    </row>
    <row r="299" spans="1:19" x14ac:dyDescent="0.2">
      <c r="A299" t="s">
        <v>68</v>
      </c>
      <c r="B299" t="s">
        <v>57</v>
      </c>
      <c r="C299">
        <v>0.87768668294748797</v>
      </c>
      <c r="D299">
        <v>0.73765388872519799</v>
      </c>
      <c r="E299">
        <v>0.80692484587126501</v>
      </c>
      <c r="F299">
        <v>0.86059139077143298</v>
      </c>
      <c r="G299">
        <v>0.70986321918882</v>
      </c>
      <c r="H299">
        <v>0.73807782288652701</v>
      </c>
      <c r="I299">
        <v>0.499999717924347</v>
      </c>
      <c r="J299">
        <v>0.75615553651267897</v>
      </c>
      <c r="K299">
        <v>157.73244871069599</v>
      </c>
      <c r="L299">
        <f t="shared" si="33"/>
        <v>1.9609183457702212E-2</v>
      </c>
      <c r="M299">
        <f t="shared" si="34"/>
        <v>5.007237586401923E-3</v>
      </c>
      <c r="N299">
        <f t="shared" si="35"/>
        <v>2.9224901458468688E-4</v>
      </c>
      <c r="O299">
        <f t="shared" si="36"/>
        <v>2.8164714987956942E-2</v>
      </c>
      <c r="P299">
        <f t="shared" si="37"/>
        <v>1.9490633807520981E-2</v>
      </c>
      <c r="Q299">
        <f t="shared" si="38"/>
        <v>0.14264744354839132</v>
      </c>
      <c r="R299">
        <f t="shared" si="39"/>
        <v>1.4769819553758988E-2</v>
      </c>
      <c r="S299">
        <f t="shared" si="40"/>
        <v>24603.416370781615</v>
      </c>
    </row>
    <row r="300" spans="1:19" x14ac:dyDescent="0.2">
      <c r="A300" t="s">
        <v>68</v>
      </c>
      <c r="B300" t="s">
        <v>58</v>
      </c>
      <c r="C300">
        <v>0.77568922307017496</v>
      </c>
      <c r="D300">
        <v>0.73362327385276904</v>
      </c>
      <c r="E300">
        <v>0.92445579019770097</v>
      </c>
      <c r="F300">
        <v>0.90543460807628795</v>
      </c>
      <c r="G300">
        <v>0.78513247884217896</v>
      </c>
      <c r="H300">
        <v>0.76122545406899</v>
      </c>
      <c r="I300">
        <v>0.499999966890739</v>
      </c>
      <c r="J300">
        <v>0.73826651555678502</v>
      </c>
      <c r="K300">
        <v>0.78514749093024805</v>
      </c>
      <c r="L300">
        <f t="shared" si="33"/>
        <v>1.7695440835613736E-3</v>
      </c>
      <c r="M300">
        <f t="shared" si="34"/>
        <v>2.21314914949087E-2</v>
      </c>
      <c r="N300">
        <f t="shared" si="35"/>
        <v>1.6833864930384489E-2</v>
      </c>
      <c r="O300">
        <f t="shared" si="36"/>
        <v>8.9175079575486865E-5</v>
      </c>
      <c r="P300">
        <f t="shared" si="37"/>
        <v>2.0920061371963887E-4</v>
      </c>
      <c r="Q300">
        <f t="shared" si="38"/>
        <v>7.6004565972770666E-2</v>
      </c>
      <c r="R300">
        <f t="shared" si="39"/>
        <v>1.4004590376327319E-3</v>
      </c>
      <c r="S300">
        <f t="shared" si="40"/>
        <v>8.9458830912891562E-5</v>
      </c>
    </row>
    <row r="301" spans="1:19" x14ac:dyDescent="0.2">
      <c r="A301" t="s">
        <v>68</v>
      </c>
      <c r="B301" t="s">
        <v>59</v>
      </c>
      <c r="C301">
        <v>0.84909902785732905</v>
      </c>
      <c r="D301">
        <v>0.80346562404145305</v>
      </c>
      <c r="E301">
        <v>0.96407400934643395</v>
      </c>
      <c r="F301">
        <v>0.94054258919978095</v>
      </c>
      <c r="G301">
        <v>0.86571405655202804</v>
      </c>
      <c r="H301">
        <v>0.89370293529921396</v>
      </c>
      <c r="I301">
        <v>0.499999883581764</v>
      </c>
      <c r="J301">
        <v>0.90821301791596998</v>
      </c>
      <c r="K301">
        <v>0.90148355854371298</v>
      </c>
      <c r="L301">
        <f t="shared" si="33"/>
        <v>2.0824075438228059E-3</v>
      </c>
      <c r="M301">
        <f t="shared" si="34"/>
        <v>1.3219246368420014E-2</v>
      </c>
      <c r="N301">
        <f t="shared" si="35"/>
        <v>8.3619249109907652E-3</v>
      </c>
      <c r="O301">
        <f t="shared" si="36"/>
        <v>2.7605917852567102E-4</v>
      </c>
      <c r="P301">
        <f t="shared" si="37"/>
        <v>1.9895085590842364E-3</v>
      </c>
      <c r="Q301">
        <f t="shared" si="38"/>
        <v>0.12187021253393178</v>
      </c>
      <c r="R301">
        <f t="shared" si="39"/>
        <v>3.4944638206530986E-3</v>
      </c>
      <c r="S301">
        <f t="shared" si="40"/>
        <v>2.7441390552327E-3</v>
      </c>
    </row>
    <row r="302" spans="1:19" x14ac:dyDescent="0.2">
      <c r="A302" t="s">
        <v>68</v>
      </c>
      <c r="B302" t="s">
        <v>60</v>
      </c>
      <c r="C302">
        <v>0.89779172289404996</v>
      </c>
      <c r="D302">
        <v>0.74135225458389498</v>
      </c>
      <c r="E302">
        <v>0.88013386501073099</v>
      </c>
      <c r="F302">
        <v>0.89282173745346005</v>
      </c>
      <c r="G302">
        <v>0.76678576525937403</v>
      </c>
      <c r="H302">
        <v>0.77311593164994696</v>
      </c>
      <c r="I302">
        <v>0.499999792885018</v>
      </c>
      <c r="J302">
        <v>0.76391151401173596</v>
      </c>
      <c r="K302">
        <v>0.76694283534205399</v>
      </c>
      <c r="L302">
        <f t="shared" si="33"/>
        <v>2.4473307245163986E-2</v>
      </c>
      <c r="M302">
        <f t="shared" si="34"/>
        <v>3.1179994502748999E-4</v>
      </c>
      <c r="N302">
        <f t="shared" si="35"/>
        <v>2.4700755279675662E-5</v>
      </c>
      <c r="O302">
        <f t="shared" si="36"/>
        <v>1.7162560935778504E-2</v>
      </c>
      <c r="P302">
        <f t="shared" si="37"/>
        <v>1.5544052922343149E-2</v>
      </c>
      <c r="Q302">
        <f t="shared" si="38"/>
        <v>0.15823841958031057</v>
      </c>
      <c r="R302">
        <f t="shared" si="39"/>
        <v>1.792391033037203E-2</v>
      </c>
      <c r="S302">
        <f t="shared" si="40"/>
        <v>1.7121431373594887E-2</v>
      </c>
    </row>
    <row r="303" spans="1:19" x14ac:dyDescent="0.2">
      <c r="A303" t="s">
        <v>68</v>
      </c>
      <c r="B303" t="s">
        <v>61</v>
      </c>
      <c r="C303">
        <v>0.81936831111546604</v>
      </c>
      <c r="D303">
        <v>0.69918587338082006</v>
      </c>
      <c r="E303">
        <v>0.787836182512481</v>
      </c>
      <c r="F303">
        <v>0.84517762071002001</v>
      </c>
      <c r="G303">
        <v>0.68371989175766501</v>
      </c>
      <c r="H303">
        <v>0.68805739509183805</v>
      </c>
      <c r="I303">
        <v>0.49999996743326303</v>
      </c>
      <c r="J303">
        <v>0.70007874276738102</v>
      </c>
      <c r="K303">
        <v>360.243358658288</v>
      </c>
      <c r="L303">
        <f t="shared" si="33"/>
        <v>1.444381833984206E-2</v>
      </c>
      <c r="M303">
        <f t="shared" si="34"/>
        <v>9.9427513423518761E-4</v>
      </c>
      <c r="N303">
        <f t="shared" si="35"/>
        <v>6.6612046174753536E-4</v>
      </c>
      <c r="O303">
        <f t="shared" si="36"/>
        <v>1.8400493674269849E-2</v>
      </c>
      <c r="P303">
        <f t="shared" si="37"/>
        <v>1.7242556666964282E-2</v>
      </c>
      <c r="Q303">
        <f t="shared" si="38"/>
        <v>0.10199613894631374</v>
      </c>
      <c r="R303">
        <f t="shared" si="39"/>
        <v>1.4230001116672447E-2</v>
      </c>
      <c r="S303">
        <f t="shared" si="40"/>
        <v>129185.60483708438</v>
      </c>
    </row>
    <row r="304" spans="1:19" x14ac:dyDescent="0.2">
      <c r="A304" t="s">
        <v>68</v>
      </c>
      <c r="B304" t="s">
        <v>62</v>
      </c>
      <c r="C304">
        <v>0.89448042360907298</v>
      </c>
      <c r="D304">
        <v>0.69935212889429499</v>
      </c>
      <c r="E304">
        <v>0.86828094509338505</v>
      </c>
      <c r="F304">
        <v>0.88356674960983705</v>
      </c>
      <c r="G304">
        <v>0.74655610674634498</v>
      </c>
      <c r="H304">
        <v>0.72094041338539805</v>
      </c>
      <c r="I304">
        <v>0.499999818578233</v>
      </c>
      <c r="J304">
        <v>0.65344867860864297</v>
      </c>
      <c r="K304">
        <v>0.74718403803191902</v>
      </c>
      <c r="L304">
        <f t="shared" si="33"/>
        <v>3.8075051398297255E-2</v>
      </c>
      <c r="M304">
        <f t="shared" si="34"/>
        <v>6.8641267449399371E-4</v>
      </c>
      <c r="N304">
        <f t="shared" si="35"/>
        <v>1.1910828016159835E-4</v>
      </c>
      <c r="O304">
        <f t="shared" si="36"/>
        <v>2.1881603519304755E-2</v>
      </c>
      <c r="P304">
        <f t="shared" si="37"/>
        <v>3.0116135148433202E-2</v>
      </c>
      <c r="Q304">
        <f t="shared" si="38"/>
        <v>0.15561494774549758</v>
      </c>
      <c r="R304">
        <f t="shared" si="39"/>
        <v>5.8096302097952315E-2</v>
      </c>
      <c r="S304">
        <f t="shared" si="40"/>
        <v>2.169622520409361E-2</v>
      </c>
    </row>
    <row r="305" spans="1:19" x14ac:dyDescent="0.2">
      <c r="A305" t="s">
        <v>68</v>
      </c>
      <c r="B305" t="s">
        <v>63</v>
      </c>
      <c r="C305">
        <v>0.75310173699759497</v>
      </c>
      <c r="D305">
        <v>0.64045171413056701</v>
      </c>
      <c r="E305">
        <v>0.91353502713219104</v>
      </c>
      <c r="F305">
        <v>0.85305365298177704</v>
      </c>
      <c r="G305">
        <v>0.70952496052242997</v>
      </c>
      <c r="H305">
        <v>0.765720609687499</v>
      </c>
      <c r="I305">
        <v>0.49999982095394901</v>
      </c>
      <c r="J305">
        <v>0.80390257616137395</v>
      </c>
      <c r="K305">
        <v>1.1770481591739601</v>
      </c>
      <c r="L305">
        <f t="shared" si="33"/>
        <v>1.2690027651941924E-2</v>
      </c>
      <c r="M305">
        <f t="shared" si="34"/>
        <v>2.5738840583411478E-2</v>
      </c>
      <c r="N305">
        <f t="shared" si="35"/>
        <v>9.9903855089089923E-3</v>
      </c>
      <c r="O305">
        <f t="shared" si="36"/>
        <v>1.898935447966494E-3</v>
      </c>
      <c r="P305">
        <f t="shared" si="37"/>
        <v>1.5923594796400566E-4</v>
      </c>
      <c r="Q305">
        <f t="shared" si="38"/>
        <v>6.4060579904964804E-2</v>
      </c>
      <c r="R305">
        <f t="shared" si="39"/>
        <v>2.5807252597441401E-3</v>
      </c>
      <c r="S305">
        <f t="shared" si="40"/>
        <v>0.17973056887614081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average_rmse_by_state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Fang Tang</dc:creator>
  <cp:lastModifiedBy>Fang Tang</cp:lastModifiedBy>
  <dcterms:created xsi:type="dcterms:W3CDTF">2024-09-18T23:51:01Z</dcterms:created>
  <dcterms:modified xsi:type="dcterms:W3CDTF">2024-09-19T00:01:58Z</dcterms:modified>
</cp:coreProperties>
</file>