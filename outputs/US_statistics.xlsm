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fang/PycharmProjects/dqq/LEA_2024/final/outputs/"/>
    </mc:Choice>
  </mc:AlternateContent>
  <xr:revisionPtr revIDLastSave="0" documentId="13_ncr:1_{B2C2FDFC-327E-CE48-8C47-3898DAFE4B42}" xr6:coauthVersionLast="47" xr6:coauthVersionMax="47" xr10:uidLastSave="{00000000-0000-0000-0000-000000000000}"/>
  <bookViews>
    <workbookView xWindow="0" yWindow="500" windowWidth="38400" windowHeight="21100" activeTab="3" xr2:uid="{A9B4424E-7545-8842-A5ED-B0276D3271B8}"/>
  </bookViews>
  <sheets>
    <sheet name="fitting_TS_GP_c2" sheetId="2" r:id="rId1"/>
    <sheet name="prediction_TS_GP_c1_w" sheetId="5" r:id="rId2"/>
    <sheet name="prediction_TS_GP_c1_1" sheetId="6" r:id="rId3"/>
    <sheet name="prediction_TS_GP_c2_1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8" i="7" l="1"/>
  <c r="T39" i="7"/>
  <c r="T40" i="7"/>
  <c r="T37" i="7"/>
  <c r="T23" i="7"/>
  <c r="T24" i="7"/>
  <c r="T25" i="7"/>
  <c r="T22" i="7"/>
  <c r="G96" i="7"/>
  <c r="F96" i="7"/>
  <c r="E96" i="7"/>
  <c r="D96" i="7"/>
  <c r="C96" i="7"/>
  <c r="B96" i="7"/>
  <c r="G95" i="7"/>
  <c r="F95" i="7"/>
  <c r="E95" i="7"/>
  <c r="D95" i="7"/>
  <c r="C95" i="7"/>
  <c r="B95" i="7"/>
  <c r="G94" i="7"/>
  <c r="F94" i="7"/>
  <c r="E94" i="7"/>
  <c r="D94" i="7"/>
  <c r="C94" i="7"/>
  <c r="B94" i="7"/>
  <c r="G93" i="7"/>
  <c r="F93" i="7"/>
  <c r="E93" i="7"/>
  <c r="D93" i="7"/>
  <c r="C93" i="7"/>
  <c r="B93" i="7"/>
  <c r="G92" i="7"/>
  <c r="F92" i="7"/>
  <c r="E92" i="7"/>
  <c r="D92" i="7"/>
  <c r="C92" i="7"/>
  <c r="B92" i="7"/>
  <c r="G91" i="7"/>
  <c r="F91" i="7"/>
  <c r="E91" i="7"/>
  <c r="D91" i="7"/>
  <c r="C91" i="7"/>
  <c r="B91" i="7"/>
  <c r="G90" i="7"/>
  <c r="F90" i="7"/>
  <c r="E90" i="7"/>
  <c r="D90" i="7"/>
  <c r="C90" i="7"/>
  <c r="B90" i="7"/>
  <c r="G89" i="7"/>
  <c r="F89" i="7"/>
  <c r="E89" i="7"/>
  <c r="D89" i="7"/>
  <c r="C89" i="7"/>
  <c r="B89" i="7"/>
  <c r="B85" i="7"/>
  <c r="G82" i="7"/>
  <c r="F82" i="7"/>
  <c r="E82" i="7"/>
  <c r="D82" i="7"/>
  <c r="C82" i="7"/>
  <c r="B82" i="7"/>
  <c r="G81" i="7"/>
  <c r="F81" i="7"/>
  <c r="E81" i="7"/>
  <c r="D81" i="7"/>
  <c r="C81" i="7"/>
  <c r="B81" i="7"/>
  <c r="G80" i="7"/>
  <c r="F80" i="7"/>
  <c r="E80" i="7"/>
  <c r="D80" i="7"/>
  <c r="C80" i="7"/>
  <c r="B80" i="7"/>
  <c r="G79" i="7"/>
  <c r="F79" i="7"/>
  <c r="E79" i="7"/>
  <c r="D79" i="7"/>
  <c r="C79" i="7"/>
  <c r="B79" i="7"/>
  <c r="G78" i="7"/>
  <c r="F78" i="7"/>
  <c r="E78" i="7"/>
  <c r="D78" i="7"/>
  <c r="C78" i="7"/>
  <c r="B78" i="7"/>
  <c r="G77" i="7"/>
  <c r="F77" i="7"/>
  <c r="E77" i="7"/>
  <c r="D77" i="7"/>
  <c r="C77" i="7"/>
  <c r="B77" i="7"/>
  <c r="G76" i="7"/>
  <c r="F76" i="7"/>
  <c r="E76" i="7"/>
  <c r="D76" i="7"/>
  <c r="C76" i="7"/>
  <c r="B76" i="7"/>
  <c r="G75" i="7"/>
  <c r="F75" i="7"/>
  <c r="E75" i="7"/>
  <c r="D75" i="7"/>
  <c r="C75" i="7"/>
  <c r="B75" i="7"/>
  <c r="B71" i="7"/>
  <c r="G68" i="7"/>
  <c r="F68" i="7"/>
  <c r="E68" i="7"/>
  <c r="D68" i="7"/>
  <c r="C68" i="7"/>
  <c r="B68" i="7"/>
  <c r="G67" i="7"/>
  <c r="F67" i="7"/>
  <c r="E67" i="7"/>
  <c r="D67" i="7"/>
  <c r="C67" i="7"/>
  <c r="B67" i="7"/>
  <c r="G66" i="7"/>
  <c r="F66" i="7"/>
  <c r="E66" i="7"/>
  <c r="D66" i="7"/>
  <c r="C66" i="7"/>
  <c r="B66" i="7"/>
  <c r="G65" i="7"/>
  <c r="F65" i="7"/>
  <c r="E65" i="7"/>
  <c r="D65" i="7"/>
  <c r="C65" i="7"/>
  <c r="B65" i="7"/>
  <c r="G64" i="7"/>
  <c r="F64" i="7"/>
  <c r="E64" i="7"/>
  <c r="D64" i="7"/>
  <c r="C64" i="7"/>
  <c r="B64" i="7"/>
  <c r="G63" i="7"/>
  <c r="F63" i="7"/>
  <c r="E63" i="7"/>
  <c r="D63" i="7"/>
  <c r="C63" i="7"/>
  <c r="B63" i="7"/>
  <c r="G62" i="7"/>
  <c r="F62" i="7"/>
  <c r="E62" i="7"/>
  <c r="D62" i="7"/>
  <c r="C62" i="7"/>
  <c r="B62" i="7"/>
  <c r="G61" i="7"/>
  <c r="F61" i="7"/>
  <c r="E61" i="7"/>
  <c r="D61" i="7"/>
  <c r="C61" i="7"/>
  <c r="B61" i="7"/>
  <c r="B57" i="7"/>
  <c r="Q54" i="7"/>
  <c r="P54" i="7"/>
  <c r="O54" i="7"/>
  <c r="G54" i="7"/>
  <c r="F54" i="7"/>
  <c r="E54" i="7"/>
  <c r="D54" i="7"/>
  <c r="C54" i="7"/>
  <c r="B54" i="7"/>
  <c r="Q53" i="7"/>
  <c r="P53" i="7"/>
  <c r="O53" i="7"/>
  <c r="G53" i="7"/>
  <c r="F53" i="7"/>
  <c r="E53" i="7"/>
  <c r="D53" i="7"/>
  <c r="C53" i="7"/>
  <c r="B53" i="7"/>
  <c r="G52" i="7"/>
  <c r="F52" i="7"/>
  <c r="E52" i="7"/>
  <c r="D52" i="7"/>
  <c r="C52" i="7"/>
  <c r="B52" i="7"/>
  <c r="G51" i="7"/>
  <c r="Q55" i="7" s="1"/>
  <c r="F51" i="7"/>
  <c r="E51" i="7"/>
  <c r="P55" i="7" s="1"/>
  <c r="D51" i="7"/>
  <c r="C51" i="7"/>
  <c r="O55" i="7" s="1"/>
  <c r="B51" i="7"/>
  <c r="G50" i="7"/>
  <c r="F50" i="7"/>
  <c r="E50" i="7"/>
  <c r="D50" i="7"/>
  <c r="C50" i="7"/>
  <c r="B50" i="7"/>
  <c r="G49" i="7"/>
  <c r="Q52" i="7" s="1"/>
  <c r="F49" i="7"/>
  <c r="E49" i="7"/>
  <c r="P52" i="7" s="1"/>
  <c r="D49" i="7"/>
  <c r="C49" i="7"/>
  <c r="O52" i="7" s="1"/>
  <c r="B49" i="7"/>
  <c r="G48" i="7"/>
  <c r="F48" i="7"/>
  <c r="E48" i="7"/>
  <c r="D48" i="7"/>
  <c r="C48" i="7"/>
  <c r="B48" i="7"/>
  <c r="G47" i="7"/>
  <c r="F47" i="7"/>
  <c r="E47" i="7"/>
  <c r="D47" i="7"/>
  <c r="C47" i="7"/>
  <c r="B47" i="7"/>
  <c r="B43" i="7"/>
  <c r="Q40" i="7"/>
  <c r="P40" i="7"/>
  <c r="G39" i="7"/>
  <c r="F39" i="7"/>
  <c r="E39" i="7"/>
  <c r="D39" i="7"/>
  <c r="C39" i="7"/>
  <c r="B39" i="7"/>
  <c r="G38" i="7"/>
  <c r="F38" i="7"/>
  <c r="E38" i="7"/>
  <c r="D38" i="7"/>
  <c r="C38" i="7"/>
  <c r="B38" i="7"/>
  <c r="P37" i="7"/>
  <c r="O37" i="7"/>
  <c r="G37" i="7"/>
  <c r="Q39" i="7" s="1"/>
  <c r="F37" i="7"/>
  <c r="E37" i="7"/>
  <c r="P39" i="7" s="1"/>
  <c r="D37" i="7"/>
  <c r="C37" i="7"/>
  <c r="O39" i="7" s="1"/>
  <c r="B37" i="7"/>
  <c r="G36" i="7"/>
  <c r="F36" i="7"/>
  <c r="E36" i="7"/>
  <c r="D36" i="7"/>
  <c r="C36" i="7"/>
  <c r="O40" i="7" s="1"/>
  <c r="B36" i="7"/>
  <c r="G35" i="7"/>
  <c r="Q38" i="7" s="1"/>
  <c r="F35" i="7"/>
  <c r="E35" i="7"/>
  <c r="P38" i="7" s="1"/>
  <c r="D35" i="7"/>
  <c r="C35" i="7"/>
  <c r="O38" i="7" s="1"/>
  <c r="B35" i="7"/>
  <c r="G34" i="7"/>
  <c r="Q37" i="7" s="1"/>
  <c r="F34" i="7"/>
  <c r="E34" i="7"/>
  <c r="D34" i="7"/>
  <c r="C34" i="7"/>
  <c r="B34" i="7"/>
  <c r="G33" i="7"/>
  <c r="F33" i="7"/>
  <c r="E33" i="7"/>
  <c r="D33" i="7"/>
  <c r="C33" i="7"/>
  <c r="B33" i="7"/>
  <c r="G32" i="7"/>
  <c r="F32" i="7"/>
  <c r="E32" i="7"/>
  <c r="D32" i="7"/>
  <c r="C32" i="7"/>
  <c r="B32" i="7"/>
  <c r="B28" i="7"/>
  <c r="O24" i="7"/>
  <c r="G24" i="7"/>
  <c r="F24" i="7"/>
  <c r="E24" i="7"/>
  <c r="D24" i="7"/>
  <c r="C24" i="7"/>
  <c r="B24" i="7"/>
  <c r="G23" i="7"/>
  <c r="F23" i="7"/>
  <c r="E23" i="7"/>
  <c r="D23" i="7"/>
  <c r="C23" i="7"/>
  <c r="B23" i="7"/>
  <c r="Q22" i="7"/>
  <c r="P22" i="7"/>
  <c r="O22" i="7"/>
  <c r="G22" i="7"/>
  <c r="Q24" i="7" s="1"/>
  <c r="F22" i="7"/>
  <c r="E22" i="7"/>
  <c r="P24" i="7" s="1"/>
  <c r="D22" i="7"/>
  <c r="C22" i="7"/>
  <c r="B22" i="7"/>
  <c r="G21" i="7"/>
  <c r="Q25" i="7" s="1"/>
  <c r="F21" i="7"/>
  <c r="E21" i="7"/>
  <c r="P25" i="7" s="1"/>
  <c r="D21" i="7"/>
  <c r="C21" i="7"/>
  <c r="O25" i="7" s="1"/>
  <c r="B21" i="7"/>
  <c r="G20" i="7"/>
  <c r="Q23" i="7" s="1"/>
  <c r="F20" i="7"/>
  <c r="E20" i="7"/>
  <c r="P23" i="7" s="1"/>
  <c r="D20" i="7"/>
  <c r="C20" i="7"/>
  <c r="O23" i="7" s="1"/>
  <c r="B20" i="7"/>
  <c r="G19" i="7"/>
  <c r="F19" i="7"/>
  <c r="E19" i="7"/>
  <c r="D19" i="7"/>
  <c r="C19" i="7"/>
  <c r="B19" i="7"/>
  <c r="G18" i="7"/>
  <c r="F18" i="7"/>
  <c r="E18" i="7"/>
  <c r="D18" i="7"/>
  <c r="C18" i="7"/>
  <c r="B18" i="7"/>
  <c r="G17" i="7"/>
  <c r="F17" i="7"/>
  <c r="E17" i="7"/>
  <c r="D17" i="7"/>
  <c r="C17" i="7"/>
  <c r="B17" i="7"/>
  <c r="B13" i="7"/>
  <c r="O33" i="2"/>
  <c r="G96" i="6"/>
  <c r="F96" i="6"/>
  <c r="E96" i="6"/>
  <c r="D96" i="6"/>
  <c r="C96" i="6"/>
  <c r="B96" i="6"/>
  <c r="G95" i="6"/>
  <c r="F95" i="6"/>
  <c r="E95" i="6"/>
  <c r="D95" i="6"/>
  <c r="C95" i="6"/>
  <c r="B95" i="6"/>
  <c r="G94" i="6"/>
  <c r="F94" i="6"/>
  <c r="E94" i="6"/>
  <c r="D94" i="6"/>
  <c r="C94" i="6"/>
  <c r="B94" i="6"/>
  <c r="G93" i="6"/>
  <c r="F93" i="6"/>
  <c r="E93" i="6"/>
  <c r="D93" i="6"/>
  <c r="C93" i="6"/>
  <c r="B93" i="6"/>
  <c r="G92" i="6"/>
  <c r="F92" i="6"/>
  <c r="E92" i="6"/>
  <c r="D92" i="6"/>
  <c r="C92" i="6"/>
  <c r="B92" i="6"/>
  <c r="G91" i="6"/>
  <c r="F91" i="6"/>
  <c r="E91" i="6"/>
  <c r="D91" i="6"/>
  <c r="C91" i="6"/>
  <c r="B91" i="6"/>
  <c r="G90" i="6"/>
  <c r="F90" i="6"/>
  <c r="E90" i="6"/>
  <c r="D90" i="6"/>
  <c r="C90" i="6"/>
  <c r="B90" i="6"/>
  <c r="G89" i="6"/>
  <c r="F89" i="6"/>
  <c r="E89" i="6"/>
  <c r="D89" i="6"/>
  <c r="C89" i="6"/>
  <c r="B89" i="6"/>
  <c r="B85" i="6"/>
  <c r="G82" i="6"/>
  <c r="F82" i="6"/>
  <c r="E82" i="6"/>
  <c r="D82" i="6"/>
  <c r="C82" i="6"/>
  <c r="B82" i="6"/>
  <c r="G81" i="6"/>
  <c r="F81" i="6"/>
  <c r="E81" i="6"/>
  <c r="D81" i="6"/>
  <c r="C81" i="6"/>
  <c r="B81" i="6"/>
  <c r="G80" i="6"/>
  <c r="F80" i="6"/>
  <c r="E80" i="6"/>
  <c r="D80" i="6"/>
  <c r="C80" i="6"/>
  <c r="B80" i="6"/>
  <c r="G79" i="6"/>
  <c r="F79" i="6"/>
  <c r="E79" i="6"/>
  <c r="D79" i="6"/>
  <c r="C79" i="6"/>
  <c r="B79" i="6"/>
  <c r="G78" i="6"/>
  <c r="F78" i="6"/>
  <c r="E78" i="6"/>
  <c r="D78" i="6"/>
  <c r="C78" i="6"/>
  <c r="B78" i="6"/>
  <c r="G77" i="6"/>
  <c r="F77" i="6"/>
  <c r="E77" i="6"/>
  <c r="D77" i="6"/>
  <c r="C77" i="6"/>
  <c r="B77" i="6"/>
  <c r="G76" i="6"/>
  <c r="F76" i="6"/>
  <c r="E76" i="6"/>
  <c r="D76" i="6"/>
  <c r="C76" i="6"/>
  <c r="B76" i="6"/>
  <c r="G75" i="6"/>
  <c r="F75" i="6"/>
  <c r="E75" i="6"/>
  <c r="D75" i="6"/>
  <c r="C75" i="6"/>
  <c r="B75" i="6"/>
  <c r="B71" i="6"/>
  <c r="G68" i="6"/>
  <c r="F68" i="6"/>
  <c r="E68" i="6"/>
  <c r="D68" i="6"/>
  <c r="C68" i="6"/>
  <c r="B68" i="6"/>
  <c r="G67" i="6"/>
  <c r="F67" i="6"/>
  <c r="E67" i="6"/>
  <c r="D67" i="6"/>
  <c r="C67" i="6"/>
  <c r="B67" i="6"/>
  <c r="G66" i="6"/>
  <c r="F66" i="6"/>
  <c r="E66" i="6"/>
  <c r="D66" i="6"/>
  <c r="C66" i="6"/>
  <c r="B66" i="6"/>
  <c r="G65" i="6"/>
  <c r="F65" i="6"/>
  <c r="E65" i="6"/>
  <c r="D65" i="6"/>
  <c r="C65" i="6"/>
  <c r="B65" i="6"/>
  <c r="G64" i="6"/>
  <c r="F64" i="6"/>
  <c r="E64" i="6"/>
  <c r="D64" i="6"/>
  <c r="C64" i="6"/>
  <c r="B64" i="6"/>
  <c r="G63" i="6"/>
  <c r="F63" i="6"/>
  <c r="E63" i="6"/>
  <c r="D63" i="6"/>
  <c r="C63" i="6"/>
  <c r="B63" i="6"/>
  <c r="G62" i="6"/>
  <c r="F62" i="6"/>
  <c r="E62" i="6"/>
  <c r="D62" i="6"/>
  <c r="C62" i="6"/>
  <c r="B62" i="6"/>
  <c r="G61" i="6"/>
  <c r="F61" i="6"/>
  <c r="E61" i="6"/>
  <c r="D61" i="6"/>
  <c r="C61" i="6"/>
  <c r="B61" i="6"/>
  <c r="B57" i="6"/>
  <c r="P54" i="6"/>
  <c r="O54" i="6"/>
  <c r="G54" i="6"/>
  <c r="F54" i="6"/>
  <c r="E54" i="6"/>
  <c r="D54" i="6"/>
  <c r="C54" i="6"/>
  <c r="B54" i="6"/>
  <c r="O53" i="6"/>
  <c r="G53" i="6"/>
  <c r="F53" i="6"/>
  <c r="E53" i="6"/>
  <c r="D53" i="6"/>
  <c r="C53" i="6"/>
  <c r="B53" i="6"/>
  <c r="G52" i="6"/>
  <c r="Q54" i="6" s="1"/>
  <c r="F52" i="6"/>
  <c r="E52" i="6"/>
  <c r="D52" i="6"/>
  <c r="C52" i="6"/>
  <c r="B52" i="6"/>
  <c r="G51" i="6"/>
  <c r="Q55" i="6" s="1"/>
  <c r="F51" i="6"/>
  <c r="E51" i="6"/>
  <c r="P55" i="6" s="1"/>
  <c r="D51" i="6"/>
  <c r="C51" i="6"/>
  <c r="O55" i="6" s="1"/>
  <c r="B51" i="6"/>
  <c r="G50" i="6"/>
  <c r="Q53" i="6" s="1"/>
  <c r="F50" i="6"/>
  <c r="E50" i="6"/>
  <c r="P53" i="6" s="1"/>
  <c r="D50" i="6"/>
  <c r="C50" i="6"/>
  <c r="B50" i="6"/>
  <c r="G49" i="6"/>
  <c r="Q52" i="6" s="1"/>
  <c r="F49" i="6"/>
  <c r="E49" i="6"/>
  <c r="P52" i="6" s="1"/>
  <c r="D49" i="6"/>
  <c r="C49" i="6"/>
  <c r="O52" i="6" s="1"/>
  <c r="B49" i="6"/>
  <c r="G48" i="6"/>
  <c r="F48" i="6"/>
  <c r="E48" i="6"/>
  <c r="D48" i="6"/>
  <c r="C48" i="6"/>
  <c r="B48" i="6"/>
  <c r="G47" i="6"/>
  <c r="F47" i="6"/>
  <c r="E47" i="6"/>
  <c r="D47" i="6"/>
  <c r="C47" i="6"/>
  <c r="B47" i="6"/>
  <c r="B43" i="6"/>
  <c r="Q40" i="6"/>
  <c r="P40" i="6"/>
  <c r="G39" i="6"/>
  <c r="F39" i="6"/>
  <c r="E39" i="6"/>
  <c r="D39" i="6"/>
  <c r="C39" i="6"/>
  <c r="B39" i="6"/>
  <c r="G38" i="6"/>
  <c r="F38" i="6"/>
  <c r="E38" i="6"/>
  <c r="D38" i="6"/>
  <c r="C38" i="6"/>
  <c r="B38" i="6"/>
  <c r="P37" i="6"/>
  <c r="O37" i="6"/>
  <c r="G37" i="6"/>
  <c r="Q39" i="6" s="1"/>
  <c r="F37" i="6"/>
  <c r="E37" i="6"/>
  <c r="P39" i="6" s="1"/>
  <c r="D37" i="6"/>
  <c r="C37" i="6"/>
  <c r="O39" i="6" s="1"/>
  <c r="B37" i="6"/>
  <c r="G36" i="6"/>
  <c r="F36" i="6"/>
  <c r="E36" i="6"/>
  <c r="D36" i="6"/>
  <c r="C36" i="6"/>
  <c r="O40" i="6" s="1"/>
  <c r="B36" i="6"/>
  <c r="G35" i="6"/>
  <c r="Q38" i="6" s="1"/>
  <c r="F35" i="6"/>
  <c r="E35" i="6"/>
  <c r="P38" i="6" s="1"/>
  <c r="D35" i="6"/>
  <c r="C35" i="6"/>
  <c r="O38" i="6" s="1"/>
  <c r="B35" i="6"/>
  <c r="G34" i="6"/>
  <c r="Q37" i="6" s="1"/>
  <c r="F34" i="6"/>
  <c r="E34" i="6"/>
  <c r="D34" i="6"/>
  <c r="C34" i="6"/>
  <c r="B34" i="6"/>
  <c r="G33" i="6"/>
  <c r="F33" i="6"/>
  <c r="E33" i="6"/>
  <c r="D33" i="6"/>
  <c r="C33" i="6"/>
  <c r="B33" i="6"/>
  <c r="G32" i="6"/>
  <c r="F32" i="6"/>
  <c r="E32" i="6"/>
  <c r="D32" i="6"/>
  <c r="C32" i="6"/>
  <c r="B32" i="6"/>
  <c r="B28" i="6"/>
  <c r="G24" i="6"/>
  <c r="F24" i="6"/>
  <c r="E24" i="6"/>
  <c r="D24" i="6"/>
  <c r="C24" i="6"/>
  <c r="B24" i="6"/>
  <c r="G23" i="6"/>
  <c r="F23" i="6"/>
  <c r="E23" i="6"/>
  <c r="D23" i="6"/>
  <c r="C23" i="6"/>
  <c r="B23" i="6"/>
  <c r="O22" i="6"/>
  <c r="G22" i="6"/>
  <c r="Q24" i="6" s="1"/>
  <c r="F22" i="6"/>
  <c r="E22" i="6"/>
  <c r="P24" i="6" s="1"/>
  <c r="D22" i="6"/>
  <c r="C22" i="6"/>
  <c r="O24" i="6" s="1"/>
  <c r="B22" i="6"/>
  <c r="G21" i="6"/>
  <c r="Q25" i="6" s="1"/>
  <c r="F21" i="6"/>
  <c r="E21" i="6"/>
  <c r="P25" i="6" s="1"/>
  <c r="D21" i="6"/>
  <c r="C21" i="6"/>
  <c r="O25" i="6" s="1"/>
  <c r="B21" i="6"/>
  <c r="G20" i="6"/>
  <c r="Q23" i="6" s="1"/>
  <c r="F20" i="6"/>
  <c r="E20" i="6"/>
  <c r="P23" i="6" s="1"/>
  <c r="D20" i="6"/>
  <c r="C20" i="6"/>
  <c r="O23" i="6" s="1"/>
  <c r="B20" i="6"/>
  <c r="G19" i="6"/>
  <c r="Q22" i="6" s="1"/>
  <c r="F19" i="6"/>
  <c r="E19" i="6"/>
  <c r="P22" i="6" s="1"/>
  <c r="D19" i="6"/>
  <c r="C19" i="6"/>
  <c r="B19" i="6"/>
  <c r="G18" i="6"/>
  <c r="F18" i="6"/>
  <c r="E18" i="6"/>
  <c r="D18" i="6"/>
  <c r="C18" i="6"/>
  <c r="B18" i="6"/>
  <c r="G17" i="6"/>
  <c r="F17" i="6"/>
  <c r="E17" i="6"/>
  <c r="D17" i="6"/>
  <c r="C17" i="6"/>
  <c r="B17" i="6"/>
  <c r="B13" i="6"/>
  <c r="C47" i="5"/>
  <c r="D47" i="5"/>
  <c r="E47" i="5"/>
  <c r="F47" i="5"/>
  <c r="G47" i="5"/>
  <c r="C48" i="5"/>
  <c r="D48" i="5"/>
  <c r="E48" i="5"/>
  <c r="F48" i="5"/>
  <c r="G48" i="5"/>
  <c r="C49" i="5"/>
  <c r="O52" i="5" s="1"/>
  <c r="D49" i="5"/>
  <c r="E49" i="5"/>
  <c r="P52" i="5" s="1"/>
  <c r="F49" i="5"/>
  <c r="G49" i="5"/>
  <c r="C50" i="5"/>
  <c r="D50" i="5"/>
  <c r="E50" i="5"/>
  <c r="F50" i="5"/>
  <c r="G50" i="5"/>
  <c r="Q53" i="5" s="1"/>
  <c r="C51" i="5"/>
  <c r="D51" i="5"/>
  <c r="E51" i="5"/>
  <c r="F51" i="5"/>
  <c r="G51" i="5"/>
  <c r="C52" i="5"/>
  <c r="O54" i="5" s="1"/>
  <c r="D52" i="5"/>
  <c r="E52" i="5"/>
  <c r="P54" i="5" s="1"/>
  <c r="F52" i="5"/>
  <c r="G52" i="5"/>
  <c r="C53" i="5"/>
  <c r="D53" i="5"/>
  <c r="E53" i="5"/>
  <c r="F53" i="5"/>
  <c r="G53" i="5"/>
  <c r="C54" i="5"/>
  <c r="D54" i="5"/>
  <c r="E54" i="5"/>
  <c r="F54" i="5"/>
  <c r="G54" i="5"/>
  <c r="B54" i="5"/>
  <c r="B53" i="5"/>
  <c r="B52" i="5"/>
  <c r="B51" i="5"/>
  <c r="B50" i="5"/>
  <c r="B49" i="5"/>
  <c r="B48" i="5"/>
  <c r="B47" i="5"/>
  <c r="Q54" i="5"/>
  <c r="P53" i="5"/>
  <c r="B43" i="5"/>
  <c r="Q55" i="5"/>
  <c r="P55" i="5"/>
  <c r="O55" i="5"/>
  <c r="O53" i="5"/>
  <c r="Q52" i="5"/>
  <c r="O37" i="5"/>
  <c r="C19" i="5"/>
  <c r="O22" i="5"/>
  <c r="D49" i="2"/>
  <c r="O47" i="2" s="1"/>
  <c r="D35" i="2"/>
  <c r="D34" i="2"/>
  <c r="C34" i="5"/>
  <c r="G34" i="5"/>
  <c r="G96" i="5" l="1"/>
  <c r="F96" i="5"/>
  <c r="E96" i="5"/>
  <c r="D96" i="5"/>
  <c r="C96" i="5"/>
  <c r="B96" i="5"/>
  <c r="G95" i="5"/>
  <c r="F95" i="5"/>
  <c r="E95" i="5"/>
  <c r="D95" i="5"/>
  <c r="C95" i="5"/>
  <c r="B95" i="5"/>
  <c r="G94" i="5"/>
  <c r="F94" i="5"/>
  <c r="E94" i="5"/>
  <c r="D94" i="5"/>
  <c r="C94" i="5"/>
  <c r="B94" i="5"/>
  <c r="G93" i="5"/>
  <c r="F93" i="5"/>
  <c r="E93" i="5"/>
  <c r="D93" i="5"/>
  <c r="C93" i="5"/>
  <c r="B93" i="5"/>
  <c r="G92" i="5"/>
  <c r="F92" i="5"/>
  <c r="E92" i="5"/>
  <c r="D92" i="5"/>
  <c r="C92" i="5"/>
  <c r="B92" i="5"/>
  <c r="G91" i="5"/>
  <c r="F91" i="5"/>
  <c r="E91" i="5"/>
  <c r="D91" i="5"/>
  <c r="C91" i="5"/>
  <c r="B91" i="5"/>
  <c r="G90" i="5"/>
  <c r="F90" i="5"/>
  <c r="E90" i="5"/>
  <c r="D90" i="5"/>
  <c r="C90" i="5"/>
  <c r="B90" i="5"/>
  <c r="G89" i="5"/>
  <c r="F89" i="5"/>
  <c r="E89" i="5"/>
  <c r="D89" i="5"/>
  <c r="C89" i="5"/>
  <c r="B89" i="5"/>
  <c r="B85" i="5"/>
  <c r="G82" i="5"/>
  <c r="F82" i="5"/>
  <c r="E82" i="5"/>
  <c r="D82" i="5"/>
  <c r="C82" i="5"/>
  <c r="B82" i="5"/>
  <c r="G81" i="5"/>
  <c r="F81" i="5"/>
  <c r="E81" i="5"/>
  <c r="D81" i="5"/>
  <c r="C81" i="5"/>
  <c r="B81" i="5"/>
  <c r="G80" i="5"/>
  <c r="F80" i="5"/>
  <c r="E80" i="5"/>
  <c r="D80" i="5"/>
  <c r="C80" i="5"/>
  <c r="B80" i="5"/>
  <c r="G79" i="5"/>
  <c r="F79" i="5"/>
  <c r="E79" i="5"/>
  <c r="D79" i="5"/>
  <c r="C79" i="5"/>
  <c r="B79" i="5"/>
  <c r="G78" i="5"/>
  <c r="F78" i="5"/>
  <c r="E78" i="5"/>
  <c r="D78" i="5"/>
  <c r="C78" i="5"/>
  <c r="B78" i="5"/>
  <c r="G77" i="5"/>
  <c r="F77" i="5"/>
  <c r="E77" i="5"/>
  <c r="D77" i="5"/>
  <c r="C77" i="5"/>
  <c r="B77" i="5"/>
  <c r="G76" i="5"/>
  <c r="F76" i="5"/>
  <c r="E76" i="5"/>
  <c r="D76" i="5"/>
  <c r="C76" i="5"/>
  <c r="B76" i="5"/>
  <c r="G75" i="5"/>
  <c r="F75" i="5"/>
  <c r="E75" i="5"/>
  <c r="D75" i="5"/>
  <c r="C75" i="5"/>
  <c r="B75" i="5"/>
  <c r="B71" i="5"/>
  <c r="G68" i="5"/>
  <c r="F68" i="5"/>
  <c r="E68" i="5"/>
  <c r="D68" i="5"/>
  <c r="C68" i="5"/>
  <c r="B68" i="5"/>
  <c r="G67" i="5"/>
  <c r="F67" i="5"/>
  <c r="E67" i="5"/>
  <c r="D67" i="5"/>
  <c r="C67" i="5"/>
  <c r="B67" i="5"/>
  <c r="G66" i="5"/>
  <c r="F66" i="5"/>
  <c r="E66" i="5"/>
  <c r="D66" i="5"/>
  <c r="C66" i="5"/>
  <c r="B66" i="5"/>
  <c r="G65" i="5"/>
  <c r="F65" i="5"/>
  <c r="E65" i="5"/>
  <c r="D65" i="5"/>
  <c r="C65" i="5"/>
  <c r="B65" i="5"/>
  <c r="G64" i="5"/>
  <c r="F64" i="5"/>
  <c r="E64" i="5"/>
  <c r="D64" i="5"/>
  <c r="C64" i="5"/>
  <c r="B64" i="5"/>
  <c r="G63" i="5"/>
  <c r="F63" i="5"/>
  <c r="E63" i="5"/>
  <c r="D63" i="5"/>
  <c r="C63" i="5"/>
  <c r="B63" i="5"/>
  <c r="G62" i="5"/>
  <c r="F62" i="5"/>
  <c r="E62" i="5"/>
  <c r="D62" i="5"/>
  <c r="C62" i="5"/>
  <c r="B62" i="5"/>
  <c r="G61" i="5"/>
  <c r="F61" i="5"/>
  <c r="E61" i="5"/>
  <c r="D61" i="5"/>
  <c r="C61" i="5"/>
  <c r="B61" i="5"/>
  <c r="B57" i="5"/>
  <c r="G39" i="5"/>
  <c r="F39" i="5"/>
  <c r="E39" i="5"/>
  <c r="D39" i="5"/>
  <c r="C39" i="5"/>
  <c r="B39" i="5"/>
  <c r="G38" i="5"/>
  <c r="F38" i="5"/>
  <c r="E38" i="5"/>
  <c r="D38" i="5"/>
  <c r="C38" i="5"/>
  <c r="B38" i="5"/>
  <c r="G37" i="5"/>
  <c r="Q39" i="5" s="1"/>
  <c r="F37" i="5"/>
  <c r="E37" i="5"/>
  <c r="P39" i="5" s="1"/>
  <c r="D37" i="5"/>
  <c r="C37" i="5"/>
  <c r="O39" i="5" s="1"/>
  <c r="B37" i="5"/>
  <c r="G36" i="5"/>
  <c r="Q40" i="5" s="1"/>
  <c r="F36" i="5"/>
  <c r="E36" i="5"/>
  <c r="P40" i="5" s="1"/>
  <c r="D36" i="5"/>
  <c r="C36" i="5"/>
  <c r="O40" i="5" s="1"/>
  <c r="B36" i="5"/>
  <c r="G35" i="5"/>
  <c r="Q38" i="5" s="1"/>
  <c r="F35" i="5"/>
  <c r="E35" i="5"/>
  <c r="P38" i="5" s="1"/>
  <c r="D35" i="5"/>
  <c r="C35" i="5"/>
  <c r="O38" i="5" s="1"/>
  <c r="B35" i="5"/>
  <c r="Q37" i="5"/>
  <c r="F34" i="5"/>
  <c r="E34" i="5"/>
  <c r="P37" i="5" s="1"/>
  <c r="D34" i="5"/>
  <c r="B34" i="5"/>
  <c r="G33" i="5"/>
  <c r="F33" i="5"/>
  <c r="E33" i="5"/>
  <c r="D33" i="5"/>
  <c r="C33" i="5"/>
  <c r="B33" i="5"/>
  <c r="G32" i="5"/>
  <c r="F32" i="5"/>
  <c r="E32" i="5"/>
  <c r="D32" i="5"/>
  <c r="C32" i="5"/>
  <c r="B32" i="5"/>
  <c r="B28" i="5"/>
  <c r="O24" i="5"/>
  <c r="G24" i="5"/>
  <c r="F24" i="5"/>
  <c r="E24" i="5"/>
  <c r="D24" i="5"/>
  <c r="C24" i="5"/>
  <c r="B24" i="5"/>
  <c r="G23" i="5"/>
  <c r="F23" i="5"/>
  <c r="E23" i="5"/>
  <c r="D23" i="5"/>
  <c r="C23" i="5"/>
  <c r="B23" i="5"/>
  <c r="Q22" i="5"/>
  <c r="P22" i="5"/>
  <c r="G22" i="5"/>
  <c r="Q24" i="5" s="1"/>
  <c r="F22" i="5"/>
  <c r="E22" i="5"/>
  <c r="P24" i="5" s="1"/>
  <c r="D22" i="5"/>
  <c r="C22" i="5"/>
  <c r="B22" i="5"/>
  <c r="G21" i="5"/>
  <c r="Q25" i="5" s="1"/>
  <c r="F21" i="5"/>
  <c r="E21" i="5"/>
  <c r="P25" i="5" s="1"/>
  <c r="D21" i="5"/>
  <c r="C21" i="5"/>
  <c r="O25" i="5" s="1"/>
  <c r="B21" i="5"/>
  <c r="G20" i="5"/>
  <c r="Q23" i="5" s="1"/>
  <c r="F20" i="5"/>
  <c r="E20" i="5"/>
  <c r="P23" i="5" s="1"/>
  <c r="D20" i="5"/>
  <c r="C20" i="5"/>
  <c r="O23" i="5" s="1"/>
  <c r="B20" i="5"/>
  <c r="G19" i="5"/>
  <c r="F19" i="5"/>
  <c r="E19" i="5"/>
  <c r="D19" i="5"/>
  <c r="B19" i="5"/>
  <c r="G18" i="5"/>
  <c r="F18" i="5"/>
  <c r="E18" i="5"/>
  <c r="D18" i="5"/>
  <c r="C18" i="5"/>
  <c r="B18" i="5"/>
  <c r="G17" i="5"/>
  <c r="F17" i="5"/>
  <c r="E17" i="5"/>
  <c r="D17" i="5"/>
  <c r="C17" i="5"/>
  <c r="B17" i="5"/>
  <c r="B13" i="5"/>
  <c r="O23" i="2" l="1"/>
  <c r="D22" i="2"/>
  <c r="O24" i="2" s="1"/>
  <c r="H96" i="2"/>
  <c r="G96" i="2"/>
  <c r="F96" i="2"/>
  <c r="E96" i="2"/>
  <c r="D96" i="2"/>
  <c r="C96" i="2"/>
  <c r="B96" i="2"/>
  <c r="H95" i="2"/>
  <c r="G95" i="2"/>
  <c r="F95" i="2"/>
  <c r="E95" i="2"/>
  <c r="D95" i="2"/>
  <c r="C95" i="2"/>
  <c r="B95" i="2"/>
  <c r="H94" i="2"/>
  <c r="G94" i="2"/>
  <c r="F94" i="2"/>
  <c r="E94" i="2"/>
  <c r="D94" i="2"/>
  <c r="C94" i="2"/>
  <c r="B94" i="2"/>
  <c r="H93" i="2"/>
  <c r="G93" i="2"/>
  <c r="F93" i="2"/>
  <c r="E93" i="2"/>
  <c r="D93" i="2"/>
  <c r="C93" i="2"/>
  <c r="B93" i="2"/>
  <c r="H92" i="2"/>
  <c r="G92" i="2"/>
  <c r="F92" i="2"/>
  <c r="E92" i="2"/>
  <c r="D92" i="2"/>
  <c r="C92" i="2"/>
  <c r="B92" i="2"/>
  <c r="H91" i="2"/>
  <c r="G91" i="2"/>
  <c r="F91" i="2"/>
  <c r="E91" i="2"/>
  <c r="D91" i="2"/>
  <c r="C91" i="2"/>
  <c r="B91" i="2"/>
  <c r="H90" i="2"/>
  <c r="G90" i="2"/>
  <c r="F90" i="2"/>
  <c r="E90" i="2"/>
  <c r="D90" i="2"/>
  <c r="C90" i="2"/>
  <c r="B90" i="2"/>
  <c r="H89" i="2"/>
  <c r="G89" i="2"/>
  <c r="F89" i="2"/>
  <c r="E89" i="2"/>
  <c r="D89" i="2"/>
  <c r="C89" i="2"/>
  <c r="B89" i="2"/>
  <c r="B85" i="2"/>
  <c r="H82" i="2"/>
  <c r="G82" i="2"/>
  <c r="F82" i="2"/>
  <c r="E82" i="2"/>
  <c r="D82" i="2"/>
  <c r="C82" i="2"/>
  <c r="B82" i="2"/>
  <c r="H81" i="2"/>
  <c r="G81" i="2"/>
  <c r="F81" i="2"/>
  <c r="E81" i="2"/>
  <c r="D81" i="2"/>
  <c r="C81" i="2"/>
  <c r="B81" i="2"/>
  <c r="H80" i="2"/>
  <c r="G80" i="2"/>
  <c r="F80" i="2"/>
  <c r="E80" i="2"/>
  <c r="D80" i="2"/>
  <c r="C80" i="2"/>
  <c r="B80" i="2"/>
  <c r="H79" i="2"/>
  <c r="G79" i="2"/>
  <c r="F79" i="2"/>
  <c r="E79" i="2"/>
  <c r="D79" i="2"/>
  <c r="C79" i="2"/>
  <c r="B79" i="2"/>
  <c r="H78" i="2"/>
  <c r="G78" i="2"/>
  <c r="F78" i="2"/>
  <c r="E78" i="2"/>
  <c r="D78" i="2"/>
  <c r="C78" i="2"/>
  <c r="B78" i="2"/>
  <c r="H77" i="2"/>
  <c r="G77" i="2"/>
  <c r="F77" i="2"/>
  <c r="E77" i="2"/>
  <c r="D77" i="2"/>
  <c r="C77" i="2"/>
  <c r="B77" i="2"/>
  <c r="H76" i="2"/>
  <c r="G76" i="2"/>
  <c r="F76" i="2"/>
  <c r="E76" i="2"/>
  <c r="D76" i="2"/>
  <c r="C76" i="2"/>
  <c r="B76" i="2"/>
  <c r="H75" i="2"/>
  <c r="G75" i="2"/>
  <c r="F75" i="2"/>
  <c r="E75" i="2"/>
  <c r="D75" i="2"/>
  <c r="C75" i="2"/>
  <c r="B75" i="2"/>
  <c r="B71" i="2"/>
  <c r="H68" i="2"/>
  <c r="G68" i="2"/>
  <c r="F68" i="2"/>
  <c r="E68" i="2"/>
  <c r="D68" i="2"/>
  <c r="C68" i="2"/>
  <c r="B68" i="2"/>
  <c r="H67" i="2"/>
  <c r="G67" i="2"/>
  <c r="F67" i="2"/>
  <c r="E67" i="2"/>
  <c r="D67" i="2"/>
  <c r="C67" i="2"/>
  <c r="B67" i="2"/>
  <c r="H66" i="2"/>
  <c r="G66" i="2"/>
  <c r="F66" i="2"/>
  <c r="E66" i="2"/>
  <c r="D66" i="2"/>
  <c r="C66" i="2"/>
  <c r="B66" i="2"/>
  <c r="H65" i="2"/>
  <c r="G65" i="2"/>
  <c r="F65" i="2"/>
  <c r="E65" i="2"/>
  <c r="D65" i="2"/>
  <c r="C65" i="2"/>
  <c r="B65" i="2"/>
  <c r="H64" i="2"/>
  <c r="G64" i="2"/>
  <c r="F64" i="2"/>
  <c r="E64" i="2"/>
  <c r="D64" i="2"/>
  <c r="C64" i="2"/>
  <c r="B64" i="2"/>
  <c r="H63" i="2"/>
  <c r="G63" i="2"/>
  <c r="F63" i="2"/>
  <c r="E63" i="2"/>
  <c r="D63" i="2"/>
  <c r="C63" i="2"/>
  <c r="B63" i="2"/>
  <c r="H62" i="2"/>
  <c r="G62" i="2"/>
  <c r="F62" i="2"/>
  <c r="E62" i="2"/>
  <c r="D62" i="2"/>
  <c r="C62" i="2"/>
  <c r="B62" i="2"/>
  <c r="H61" i="2"/>
  <c r="G61" i="2"/>
  <c r="F61" i="2"/>
  <c r="E61" i="2"/>
  <c r="D61" i="2"/>
  <c r="C61" i="2"/>
  <c r="B61" i="2"/>
  <c r="B57" i="2"/>
  <c r="H54" i="2"/>
  <c r="G54" i="2"/>
  <c r="F54" i="2"/>
  <c r="E54" i="2"/>
  <c r="D54" i="2"/>
  <c r="C54" i="2"/>
  <c r="B54" i="2"/>
  <c r="H53" i="2"/>
  <c r="G53" i="2"/>
  <c r="F53" i="2"/>
  <c r="E53" i="2"/>
  <c r="D53" i="2"/>
  <c r="C53" i="2"/>
  <c r="B53" i="2"/>
  <c r="H52" i="2"/>
  <c r="Q49" i="2" s="1"/>
  <c r="G52" i="2"/>
  <c r="F52" i="2"/>
  <c r="P49" i="2" s="1"/>
  <c r="E52" i="2"/>
  <c r="D52" i="2"/>
  <c r="O49" i="2" s="1"/>
  <c r="C52" i="2"/>
  <c r="B52" i="2"/>
  <c r="H51" i="2"/>
  <c r="Q50" i="2" s="1"/>
  <c r="G51" i="2"/>
  <c r="F51" i="2"/>
  <c r="P50" i="2" s="1"/>
  <c r="E51" i="2"/>
  <c r="D51" i="2"/>
  <c r="O50" i="2" s="1"/>
  <c r="C51" i="2"/>
  <c r="B51" i="2"/>
  <c r="H50" i="2"/>
  <c r="Q48" i="2" s="1"/>
  <c r="G50" i="2"/>
  <c r="F50" i="2"/>
  <c r="P48" i="2" s="1"/>
  <c r="E50" i="2"/>
  <c r="D50" i="2"/>
  <c r="O48" i="2" s="1"/>
  <c r="C50" i="2"/>
  <c r="B50" i="2"/>
  <c r="H49" i="2"/>
  <c r="Q47" i="2" s="1"/>
  <c r="G49" i="2"/>
  <c r="F49" i="2"/>
  <c r="P47" i="2" s="1"/>
  <c r="E49" i="2"/>
  <c r="C49" i="2"/>
  <c r="B49" i="2"/>
  <c r="H48" i="2"/>
  <c r="G48" i="2"/>
  <c r="F48" i="2"/>
  <c r="E48" i="2"/>
  <c r="D48" i="2"/>
  <c r="C48" i="2"/>
  <c r="B48" i="2"/>
  <c r="H47" i="2"/>
  <c r="G47" i="2"/>
  <c r="F47" i="2"/>
  <c r="E47" i="2"/>
  <c r="D47" i="2"/>
  <c r="C47" i="2"/>
  <c r="B47" i="2"/>
  <c r="B43" i="2"/>
  <c r="H39" i="2"/>
  <c r="G39" i="2"/>
  <c r="F39" i="2"/>
  <c r="E39" i="2"/>
  <c r="D39" i="2"/>
  <c r="C39" i="2"/>
  <c r="B39" i="2"/>
  <c r="H38" i="2"/>
  <c r="G38" i="2"/>
  <c r="F38" i="2"/>
  <c r="E38" i="2"/>
  <c r="D38" i="2"/>
  <c r="C38" i="2"/>
  <c r="B38" i="2"/>
  <c r="H37" i="2"/>
  <c r="Q34" i="2" s="1"/>
  <c r="G37" i="2"/>
  <c r="F37" i="2"/>
  <c r="P34" i="2" s="1"/>
  <c r="E37" i="2"/>
  <c r="D37" i="2"/>
  <c r="O34" i="2" s="1"/>
  <c r="C37" i="2"/>
  <c r="B37" i="2"/>
  <c r="H36" i="2"/>
  <c r="Q35" i="2" s="1"/>
  <c r="G36" i="2"/>
  <c r="F36" i="2"/>
  <c r="P35" i="2" s="1"/>
  <c r="E36" i="2"/>
  <c r="D36" i="2"/>
  <c r="O35" i="2" s="1"/>
  <c r="C36" i="2"/>
  <c r="B36" i="2"/>
  <c r="H35" i="2"/>
  <c r="Q33" i="2" s="1"/>
  <c r="G35" i="2"/>
  <c r="F35" i="2"/>
  <c r="P33" i="2" s="1"/>
  <c r="E35" i="2"/>
  <c r="C35" i="2"/>
  <c r="B35" i="2"/>
  <c r="H34" i="2"/>
  <c r="Q32" i="2" s="1"/>
  <c r="G34" i="2"/>
  <c r="F34" i="2"/>
  <c r="P32" i="2" s="1"/>
  <c r="E34" i="2"/>
  <c r="O32" i="2"/>
  <c r="C34" i="2"/>
  <c r="B34" i="2"/>
  <c r="H33" i="2"/>
  <c r="G33" i="2"/>
  <c r="F33" i="2"/>
  <c r="E33" i="2"/>
  <c r="D33" i="2"/>
  <c r="C33" i="2"/>
  <c r="B33" i="2"/>
  <c r="H32" i="2"/>
  <c r="G32" i="2"/>
  <c r="F32" i="2"/>
  <c r="E32" i="2"/>
  <c r="D32" i="2"/>
  <c r="C32" i="2"/>
  <c r="B32" i="2"/>
  <c r="B28" i="2"/>
  <c r="H24" i="2"/>
  <c r="G24" i="2"/>
  <c r="F24" i="2"/>
  <c r="E24" i="2"/>
  <c r="D24" i="2"/>
  <c r="C24" i="2"/>
  <c r="B24" i="2"/>
  <c r="H23" i="2"/>
  <c r="G23" i="2"/>
  <c r="F23" i="2"/>
  <c r="E23" i="2"/>
  <c r="D23" i="2"/>
  <c r="C23" i="2"/>
  <c r="B23" i="2"/>
  <c r="H22" i="2"/>
  <c r="Q24" i="2" s="1"/>
  <c r="G22" i="2"/>
  <c r="F22" i="2"/>
  <c r="P24" i="2" s="1"/>
  <c r="E22" i="2"/>
  <c r="C22" i="2"/>
  <c r="B22" i="2"/>
  <c r="H21" i="2"/>
  <c r="Q25" i="2" s="1"/>
  <c r="G21" i="2"/>
  <c r="F21" i="2"/>
  <c r="P25" i="2" s="1"/>
  <c r="E21" i="2"/>
  <c r="D21" i="2"/>
  <c r="O25" i="2" s="1"/>
  <c r="C21" i="2"/>
  <c r="B21" i="2"/>
  <c r="H20" i="2"/>
  <c r="Q23" i="2" s="1"/>
  <c r="G20" i="2"/>
  <c r="F20" i="2"/>
  <c r="P23" i="2" s="1"/>
  <c r="E20" i="2"/>
  <c r="D20" i="2"/>
  <c r="C20" i="2"/>
  <c r="B20" i="2"/>
  <c r="H19" i="2"/>
  <c r="Q22" i="2" s="1"/>
  <c r="G19" i="2"/>
  <c r="F19" i="2"/>
  <c r="P22" i="2" s="1"/>
  <c r="E19" i="2"/>
  <c r="D19" i="2"/>
  <c r="O22" i="2" s="1"/>
  <c r="C19" i="2"/>
  <c r="B19" i="2"/>
  <c r="H18" i="2"/>
  <c r="G18" i="2"/>
  <c r="F18" i="2"/>
  <c r="E18" i="2"/>
  <c r="D18" i="2"/>
  <c r="C18" i="2"/>
  <c r="B18" i="2"/>
  <c r="H17" i="2"/>
  <c r="G17" i="2"/>
  <c r="F17" i="2"/>
  <c r="E17" i="2"/>
  <c r="D17" i="2"/>
  <c r="C17" i="2"/>
  <c r="B17" i="2"/>
  <c r="B13" i="2"/>
  <c r="I52" i="2" l="1"/>
  <c r="I50" i="2"/>
  <c r="J37" i="2"/>
  <c r="I37" i="2"/>
  <c r="I64" i="2"/>
  <c r="I35" i="2"/>
  <c r="J35" i="2"/>
  <c r="J50" i="2"/>
  <c r="J52" i="2"/>
  <c r="J64" i="2"/>
  <c r="J66" i="2"/>
  <c r="I22" i="2"/>
  <c r="I80" i="2"/>
  <c r="I92" i="2"/>
  <c r="I94" i="2"/>
  <c r="J78" i="2"/>
  <c r="J80" i="2"/>
  <c r="I66" i="2"/>
  <c r="J92" i="2"/>
  <c r="J94" i="2"/>
  <c r="I78" i="2"/>
  <c r="J22" i="2"/>
  <c r="J20" i="2"/>
  <c r="I20" i="2"/>
</calcChain>
</file>

<file path=xl/sharedStrings.xml><?xml version="1.0" encoding="utf-8"?>
<sst xmlns="http://schemas.openxmlformats.org/spreadsheetml/2006/main" count="781" uniqueCount="88">
  <si>
    <t>mobility_type</t>
  </si>
  <si>
    <t>RMSE_H(t)_linear_est</t>
  </si>
  <si>
    <t>RMSE_H(t)_linear_pred</t>
  </si>
  <si>
    <t>RMSE_F(t)_linear_est</t>
  </si>
  <si>
    <t>RMSE_F(t)_linear_pred</t>
  </si>
  <si>
    <t>RMSE_h(t)_linear_est</t>
  </si>
  <si>
    <t>RMSE_h(t)_linear_pred</t>
  </si>
  <si>
    <t>theta_weighted_RMSE_linear</t>
  </si>
  <si>
    <t>RMSE_H(t)_dqq_est</t>
  </si>
  <si>
    <t>RMSE_H(t)_dqq_pred</t>
  </si>
  <si>
    <t>RMSE_F(t)_dqq_est</t>
  </si>
  <si>
    <t>RMSE_F(t)_dqq_pred</t>
  </si>
  <si>
    <t>RMSE_h(t)_dqq_est</t>
  </si>
  <si>
    <t>RMSE_h(t)_dqq_pred</t>
  </si>
  <si>
    <t>theta_weighted_RMSE_dqq</t>
  </si>
  <si>
    <t>RMSE_H(t)_lea_est</t>
  </si>
  <si>
    <t>RMSE_H(t)_lea_pred</t>
  </si>
  <si>
    <t>RMSE_F(t)_lea_est</t>
  </si>
  <si>
    <t>RMSE_F(t)_lea_pred</t>
  </si>
  <si>
    <t>RMSE_h(t)_lea_est</t>
  </si>
  <si>
    <t>RMSE_h(t)_lea_pred</t>
  </si>
  <si>
    <t>theta_weighted_RMSE_lea</t>
  </si>
  <si>
    <t>RMSE_H(t)_exp_est</t>
  </si>
  <si>
    <t>RMSE_H(t)_exp_pred</t>
  </si>
  <si>
    <t>RMSE_F(t)_exp_est</t>
  </si>
  <si>
    <t>RMSE_F(t)_exp_pred</t>
  </si>
  <si>
    <t>RMSE_h(t)_exp_est</t>
  </si>
  <si>
    <t>RMSE_h(t)_exp_pred</t>
  </si>
  <si>
    <t>theta_weighted_RMSE_exp</t>
  </si>
  <si>
    <t>RMSE_H(t)_weibull_est</t>
  </si>
  <si>
    <t>RMSE_H(t)_weibull_pred</t>
  </si>
  <si>
    <t>RMSE_F(t)_weibull_est</t>
  </si>
  <si>
    <t>RMSE_F(t)_weibull_pred</t>
  </si>
  <si>
    <t>RMSE_h(t)_weibull_est</t>
  </si>
  <si>
    <t>RMSE_h(t)_weibull_pred</t>
  </si>
  <si>
    <t>theta_weighted_RMSE_weibull</t>
  </si>
  <si>
    <t>RMSE_H(t)_log_est</t>
  </si>
  <si>
    <t>RMSE_H(t)_log_pred</t>
  </si>
  <si>
    <t>RMSE_F(t)_log_est</t>
  </si>
  <si>
    <t>RMSE_F(t)_log_pred</t>
  </si>
  <si>
    <t>RMSE_h(t)_log_est</t>
  </si>
  <si>
    <t>RMSE_h(t)_log_pred</t>
  </si>
  <si>
    <t>theta_weighted_RMSE_log</t>
  </si>
  <si>
    <t>RMSE_H(t)_gomp_est</t>
  </si>
  <si>
    <t>RMSE_H(t)_gomp_pred</t>
  </si>
  <si>
    <t>RMSE_F(t)_gomp_est</t>
  </si>
  <si>
    <t>RMSE_F(t)_gomp_pred</t>
  </si>
  <si>
    <t>RMSE_h(t)_gomp_est</t>
  </si>
  <si>
    <t>RMSE_h(t)_gomp_pred</t>
  </si>
  <si>
    <t>theta_weighted_RMSE_gomp</t>
  </si>
  <si>
    <t>RMSE_H(t)_lsm_est</t>
  </si>
  <si>
    <t>RMSE_H(t)_lsm_pred</t>
  </si>
  <si>
    <t>RMSE_F(t)_lsm_est</t>
  </si>
  <si>
    <t>RMSE_F(t)_lsm_pred</t>
  </si>
  <si>
    <t>RMSE_h(t)_lsm_est</t>
  </si>
  <si>
    <t>RMSE_h(t)_lsm_pred</t>
  </si>
  <si>
    <t>theta_weighted_RMSE_lsm</t>
  </si>
  <si>
    <t>transit_stations_percent_change_from_baseline</t>
  </si>
  <si>
    <t>grocery_and_pharmacy_percent_change_from_baseline</t>
  </si>
  <si>
    <t>H(t)</t>
  </si>
  <si>
    <t>F(t)</t>
  </si>
  <si>
    <t>h(t)</t>
  </si>
  <si>
    <t>F(t)_impv</t>
  </si>
  <si>
    <t>h(t)_impv</t>
  </si>
  <si>
    <t>Models</t>
  </si>
  <si>
    <t>RMSE_est</t>
  </si>
  <si>
    <t>RMSE_pred</t>
  </si>
  <si>
    <t>theta-weighted RMSE</t>
  </si>
  <si>
    <t>Linear</t>
  </si>
  <si>
    <t>theta-weighted RMSE = theta * RMSE_est [F(t)] + (1-theta)*RMSE_est [h(t)]</t>
  </si>
  <si>
    <t>DQQ</t>
  </si>
  <si>
    <t>LEA</t>
  </si>
  <si>
    <t>Exp</t>
  </si>
  <si>
    <t>Weibull</t>
  </si>
  <si>
    <t>Weighted Performance</t>
  </si>
  <si>
    <t>Log-logistic</t>
  </si>
  <si>
    <t>Gopmtz</t>
  </si>
  <si>
    <t>LSM</t>
  </si>
  <si>
    <t>Exponential</t>
  </si>
  <si>
    <t>inf</t>
  </si>
  <si>
    <t>residential_percent_change_from_baseline</t>
  </si>
  <si>
    <r>
      <t xml:space="preserve">w = </t>
    </r>
    <r>
      <rPr>
        <sz val="9.8000000000000007"/>
        <color rgb="FF2AACB8"/>
        <rFont val="JetBrains Mono"/>
        <family val="3"/>
      </rPr>
      <t xml:space="preserve">1 </t>
    </r>
    <r>
      <rPr>
        <sz val="9.8000000000000007"/>
        <color rgb="FFBCBEC4"/>
        <rFont val="JetBrains Mono"/>
        <family val="3"/>
      </rPr>
      <t>/ (</t>
    </r>
    <r>
      <rPr>
        <sz val="9.8000000000000007"/>
        <color rgb="FF8888C6"/>
        <rFont val="JetBrains Mono"/>
        <family val="3"/>
      </rPr>
      <t>int</t>
    </r>
    <r>
      <rPr>
        <sz val="9.8000000000000007"/>
        <color rgb="FFBCBEC4"/>
        <rFont val="JetBrains Mono"/>
        <family val="3"/>
      </rPr>
      <t>(group[</t>
    </r>
    <r>
      <rPr>
        <sz val="9.8000000000000007"/>
        <color rgb="FF6AAB73"/>
        <rFont val="JetBrains Mono"/>
        <family val="3"/>
      </rPr>
      <t>'UN_F(t)'</t>
    </r>
    <r>
      <rPr>
        <sz val="9.8000000000000007"/>
        <color rgb="FFBCBEC4"/>
        <rFont val="JetBrains Mono"/>
        <family val="3"/>
      </rPr>
      <t>].max())+</t>
    </r>
    <r>
      <rPr>
        <sz val="9.8000000000000007"/>
        <color rgb="FF2AACB8"/>
        <rFont val="JetBrains Mono"/>
        <family val="3"/>
      </rPr>
      <t>1</t>
    </r>
    <r>
      <rPr>
        <sz val="9.8000000000000007"/>
        <color rgb="FFBCBEC4"/>
        <rFont val="JetBrains Mono"/>
        <family val="3"/>
      </rPr>
      <t>)</t>
    </r>
  </si>
  <si>
    <t>If TS</t>
  </si>
  <si>
    <t>w=1</t>
  </si>
  <si>
    <t>If RD</t>
  </si>
  <si>
    <t>observed_delta</t>
  </si>
  <si>
    <t>predicted delta</t>
  </si>
  <si>
    <t>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</si>
</sst>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E+00"/>
    <numFmt numFmtId="166" formatCode="0.0000"/>
    <numFmt numFmtId="171" formatCode="0.0"/>
  </numFmts>
  <fonts count="6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9.8000000000000007"/>
      <color rgb="FFBCBEC4"/>
      <name val="JetBrains Mono"/>
      <family val="3"/>
    </font>
    <font>
      <sz val="9.8000000000000007"/>
      <color rgb="FF2AACB8"/>
      <name val="JetBrains Mono"/>
      <family val="3"/>
    </font>
    <font>
      <sz val="9.8000000000000007"/>
      <color rgb="FF8888C6"/>
      <name val="JetBrains Mono"/>
      <family val="3"/>
    </font>
    <font>
      <sz val="9.8000000000000007"/>
      <color rgb="FF6AAB73"/>
      <name val="JetBrains Mono"/>
      <family val="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11" fontId="0" fillId="0" borderId="0" xfId="0" applyNumberFormat="1"/>
    <xf numFmtId="0" fontId="1" fillId="0" borderId="0" xfId="0" applyFont="1"/>
    <xf numFmtId="164" fontId="0" fillId="0" borderId="0" xfId="0" applyNumberFormat="1"/>
    <xf numFmtId="0" fontId="1" fillId="2" borderId="0" xfId="0" applyFont="1" applyFill="1"/>
    <xf numFmtId="164" fontId="0" fillId="2" borderId="0" xfId="0" applyNumberFormat="1" applyFill="1"/>
    <xf numFmtId="0" fontId="1" fillId="3" borderId="0" xfId="0" applyFont="1" applyFill="1"/>
    <xf numFmtId="164" fontId="0" fillId="3" borderId="0" xfId="0" applyNumberFormat="1" applyFill="1"/>
    <xf numFmtId="164" fontId="1" fillId="3" borderId="0" xfId="0" applyNumberFormat="1" applyFont="1" applyFill="1"/>
    <xf numFmtId="165" fontId="0" fillId="0" borderId="0" xfId="0" applyNumberFormat="1"/>
    <xf numFmtId="166" fontId="0" fillId="0" borderId="0" xfId="0" applyNumberFormat="1"/>
    <xf numFmtId="0" fontId="2" fillId="0" borderId="0" xfId="0" applyFon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7ECAC-05DB-6A44-A215-24698D476129}">
  <dimension ref="A1:BE96"/>
  <sheetViews>
    <sheetView topLeftCell="A3" zoomScale="110" zoomScaleNormal="110" workbookViewId="0">
      <selection activeCell="L39" sqref="L39"/>
    </sheetView>
  </sheetViews>
  <sheetFormatPr baseColWidth="10" defaultRowHeight="16"/>
  <cols>
    <col min="2" max="2" width="12.1640625" customWidth="1"/>
    <col min="8" max="8" width="14.6640625" customWidth="1"/>
    <col min="14" max="14" width="15" customWidth="1"/>
    <col min="15" max="15" width="26.1640625" customWidth="1"/>
    <col min="16" max="16" width="16.83203125" bestFit="1" customWidth="1"/>
    <col min="19" max="19" width="13.1640625" customWidth="1"/>
    <col min="26" max="26" width="18.5" customWidth="1"/>
    <col min="27" max="27" width="13.6640625" customWidth="1"/>
    <col min="31" max="31" width="13" customWidth="1"/>
    <col min="32" max="32" width="15.6640625" customWidth="1"/>
    <col min="38" max="38" width="19.1640625" customWidth="1"/>
    <col min="44" max="44" width="14" customWidth="1"/>
  </cols>
  <sheetData>
    <row r="1" spans="1:5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</row>
    <row r="2" spans="1:57">
      <c r="A2" t="s">
        <v>57</v>
      </c>
      <c r="B2">
        <v>5.7236531174482597</v>
      </c>
      <c r="C2">
        <v>0</v>
      </c>
      <c r="D2">
        <v>0.78218448730238599</v>
      </c>
      <c r="E2">
        <v>0</v>
      </c>
      <c r="F2">
        <v>2.7220217530569E-2</v>
      </c>
      <c r="G2">
        <v>0</v>
      </c>
      <c r="H2">
        <v>4.7658450782984703E-2</v>
      </c>
      <c r="I2">
        <v>1.23029281873385</v>
      </c>
      <c r="J2">
        <v>0</v>
      </c>
      <c r="K2">
        <v>0.51759291450023204</v>
      </c>
      <c r="L2">
        <v>0</v>
      </c>
      <c r="M2">
        <v>1.00480521531846E-2</v>
      </c>
      <c r="N2">
        <v>0</v>
      </c>
      <c r="O2">
        <v>2.3788199466181801E-2</v>
      </c>
      <c r="P2">
        <v>0.49512881256499602</v>
      </c>
      <c r="Q2">
        <v>0</v>
      </c>
      <c r="R2">
        <v>0.17973234375258801</v>
      </c>
      <c r="S2">
        <v>0</v>
      </c>
      <c r="T2" s="1">
        <v>9.6536649417038197E-5</v>
      </c>
      <c r="U2">
        <v>0</v>
      </c>
      <c r="V2">
        <v>4.9595992777586003E-3</v>
      </c>
      <c r="W2">
        <v>1.2599651908212199</v>
      </c>
      <c r="X2">
        <v>0</v>
      </c>
      <c r="Y2">
        <v>0.20595722821978399</v>
      </c>
      <c r="Z2">
        <v>0</v>
      </c>
      <c r="AA2">
        <v>5.5994366493090997E-3</v>
      </c>
      <c r="AB2">
        <v>0</v>
      </c>
      <c r="AC2">
        <v>1.10234804643811E-2</v>
      </c>
      <c r="AD2">
        <v>3.3283892019473198</v>
      </c>
      <c r="AE2">
        <v>0</v>
      </c>
      <c r="AF2">
        <v>0.74168365036198702</v>
      </c>
      <c r="AG2">
        <v>0</v>
      </c>
      <c r="AH2">
        <v>1.11899958886737E-2</v>
      </c>
      <c r="AI2">
        <v>0</v>
      </c>
      <c r="AJ2">
        <v>3.09657658122591E-2</v>
      </c>
      <c r="AK2">
        <v>1.71284493721679</v>
      </c>
      <c r="AL2">
        <v>0</v>
      </c>
      <c r="AM2">
        <v>0.46478716613802101</v>
      </c>
      <c r="AN2">
        <v>0</v>
      </c>
      <c r="AO2">
        <v>3.9601915945601997E-3</v>
      </c>
      <c r="AP2">
        <v>0</v>
      </c>
      <c r="AQ2">
        <v>1.64356021163998E-2</v>
      </c>
      <c r="AR2">
        <v>45.857664619786</v>
      </c>
      <c r="AS2">
        <v>0</v>
      </c>
      <c r="AT2">
        <v>20.754255735148099</v>
      </c>
      <c r="AU2">
        <v>0</v>
      </c>
      <c r="AV2">
        <v>1.2766973008221501E-2</v>
      </c>
      <c r="AW2">
        <v>0</v>
      </c>
      <c r="AX2">
        <v>0.574276175888908</v>
      </c>
      <c r="AY2">
        <v>0.314291350792268</v>
      </c>
      <c r="AZ2">
        <v>0</v>
      </c>
      <c r="BA2">
        <v>7.0016544944733902E-2</v>
      </c>
      <c r="BB2">
        <v>0</v>
      </c>
      <c r="BC2">
        <v>2.0027684601470002E-3</v>
      </c>
      <c r="BD2">
        <v>0</v>
      </c>
      <c r="BE2">
        <v>3.8440230516919001E-3</v>
      </c>
    </row>
    <row r="3" spans="1:57">
      <c r="A3" t="s">
        <v>80</v>
      </c>
      <c r="B3">
        <v>63.298033312612503</v>
      </c>
      <c r="C3">
        <v>0</v>
      </c>
      <c r="D3">
        <v>6.5092772226768201</v>
      </c>
      <c r="E3">
        <v>0</v>
      </c>
      <c r="F3">
        <v>24.2927123722293</v>
      </c>
      <c r="G3">
        <v>0</v>
      </c>
      <c r="H3">
        <v>21.687608586076198</v>
      </c>
      <c r="I3">
        <v>105.339684226236</v>
      </c>
      <c r="J3">
        <v>0</v>
      </c>
      <c r="K3">
        <v>9.0482475175658408</v>
      </c>
      <c r="L3">
        <v>0</v>
      </c>
      <c r="M3">
        <v>0.51669676690875599</v>
      </c>
      <c r="N3">
        <v>0</v>
      </c>
      <c r="O3">
        <v>1.7664876523808299</v>
      </c>
      <c r="P3">
        <v>72.274356479199696</v>
      </c>
      <c r="Q3">
        <v>0</v>
      </c>
      <c r="R3">
        <v>0.27550844882252501</v>
      </c>
      <c r="S3">
        <v>0</v>
      </c>
      <c r="T3">
        <v>7.367038759341E-3</v>
      </c>
      <c r="U3">
        <v>0</v>
      </c>
      <c r="V3">
        <v>4.6647200140176502E-2</v>
      </c>
      <c r="W3">
        <v>94.583544766677093</v>
      </c>
      <c r="X3">
        <v>0</v>
      </c>
      <c r="Y3">
        <v>0.64836246548557397</v>
      </c>
      <c r="Z3">
        <v>0</v>
      </c>
      <c r="AA3">
        <v>0.26151443580877498</v>
      </c>
      <c r="AB3">
        <v>0</v>
      </c>
      <c r="AC3">
        <v>0.31818398577489998</v>
      </c>
      <c r="AD3">
        <v>163.23473594261199</v>
      </c>
      <c r="AE3">
        <v>0</v>
      </c>
      <c r="AF3">
        <v>1.20669362256472</v>
      </c>
      <c r="AG3">
        <v>0</v>
      </c>
      <c r="AH3">
        <v>0.56373453944670504</v>
      </c>
      <c r="AI3">
        <v>0</v>
      </c>
      <c r="AJ3">
        <v>0.65792191818913404</v>
      </c>
      <c r="AK3">
        <v>85.525817700354906</v>
      </c>
      <c r="AL3">
        <v>0</v>
      </c>
      <c r="AM3">
        <v>0.308439604250142</v>
      </c>
      <c r="AN3">
        <v>0</v>
      </c>
      <c r="AO3">
        <v>9.5429620568435305E-2</v>
      </c>
      <c r="AP3">
        <v>0</v>
      </c>
      <c r="AQ3">
        <v>0.12663355334694501</v>
      </c>
      <c r="AR3">
        <v>345.02607219246499</v>
      </c>
      <c r="AS3">
        <v>0</v>
      </c>
      <c r="AT3">
        <v>27.038759270806501</v>
      </c>
      <c r="AU3">
        <v>0</v>
      </c>
      <c r="AV3">
        <v>0.65021635112361098</v>
      </c>
      <c r="AW3">
        <v>0</v>
      </c>
      <c r="AX3">
        <v>4.51588642515655</v>
      </c>
      <c r="AY3">
        <v>49.342438198392301</v>
      </c>
      <c r="AZ3">
        <v>0</v>
      </c>
      <c r="BA3">
        <v>0.56932338077629197</v>
      </c>
      <c r="BB3">
        <v>0</v>
      </c>
      <c r="BC3">
        <v>0.119259856916288</v>
      </c>
      <c r="BD3">
        <v>0</v>
      </c>
      <c r="BE3">
        <v>0.18518987438238099</v>
      </c>
    </row>
    <row r="5" spans="1:57">
      <c r="T5" s="1"/>
    </row>
    <row r="6" spans="1:57">
      <c r="T6" s="1"/>
    </row>
    <row r="7" spans="1:57">
      <c r="T7" s="1"/>
    </row>
    <row r="13" spans="1:57">
      <c r="B13" s="2" t="str">
        <f>A2</f>
        <v>transit_stations_percent_change_from_baseline</v>
      </c>
    </row>
    <row r="15" spans="1:57">
      <c r="B15" s="2" t="s">
        <v>59</v>
      </c>
      <c r="C15" s="2"/>
      <c r="D15" s="2" t="s">
        <v>60</v>
      </c>
      <c r="E15" s="2"/>
      <c r="F15" s="2" t="s">
        <v>61</v>
      </c>
      <c r="I15" s="2" t="s">
        <v>62</v>
      </c>
      <c r="J15" s="2" t="s">
        <v>63</v>
      </c>
      <c r="K15" s="2"/>
      <c r="L15" s="2"/>
      <c r="M15" s="2"/>
      <c r="N15" s="2"/>
    </row>
    <row r="16" spans="1:57">
      <c r="A16" s="2" t="s">
        <v>64</v>
      </c>
      <c r="B16" s="2" t="s">
        <v>65</v>
      </c>
      <c r="C16" s="2" t="s">
        <v>66</v>
      </c>
      <c r="D16" s="2" t="s">
        <v>65</v>
      </c>
      <c r="E16" s="2" t="s">
        <v>66</v>
      </c>
      <c r="F16" s="2" t="s">
        <v>65</v>
      </c>
      <c r="G16" s="2" t="s">
        <v>66</v>
      </c>
      <c r="H16" s="2" t="s">
        <v>67</v>
      </c>
      <c r="I16" s="2"/>
    </row>
    <row r="17" spans="1:18">
      <c r="A17" s="2" t="s">
        <v>68</v>
      </c>
      <c r="B17" s="3">
        <f t="shared" ref="B17:H17" si="0">B2</f>
        <v>5.7236531174482597</v>
      </c>
      <c r="C17" s="3">
        <f t="shared" si="0"/>
        <v>0</v>
      </c>
      <c r="D17" s="3">
        <f t="shared" si="0"/>
        <v>0.78218448730238599</v>
      </c>
      <c r="E17" s="3">
        <f t="shared" si="0"/>
        <v>0</v>
      </c>
      <c r="F17" s="3">
        <f t="shared" si="0"/>
        <v>2.7220217530569E-2</v>
      </c>
      <c r="G17" s="3">
        <f t="shared" si="0"/>
        <v>0</v>
      </c>
      <c r="H17" s="3">
        <f t="shared" si="0"/>
        <v>4.7658450782984703E-2</v>
      </c>
      <c r="I17" s="2"/>
      <c r="J17" s="3"/>
      <c r="K17" s="3"/>
      <c r="L17" s="2" t="s">
        <v>69</v>
      </c>
      <c r="M17" s="3"/>
      <c r="N17" s="3"/>
      <c r="O17" s="3"/>
    </row>
    <row r="18" spans="1:18">
      <c r="A18" s="2" t="s">
        <v>70</v>
      </c>
      <c r="B18" s="3">
        <f t="shared" ref="B18:H18" si="1">I2</f>
        <v>1.23029281873385</v>
      </c>
      <c r="C18" s="3">
        <f t="shared" si="1"/>
        <v>0</v>
      </c>
      <c r="D18" s="3">
        <f t="shared" si="1"/>
        <v>0.51759291450023204</v>
      </c>
      <c r="E18" s="3">
        <f t="shared" si="1"/>
        <v>0</v>
      </c>
      <c r="F18" s="3">
        <f t="shared" si="1"/>
        <v>1.00480521531846E-2</v>
      </c>
      <c r="G18" s="3">
        <f t="shared" si="1"/>
        <v>0</v>
      </c>
      <c r="H18" s="3">
        <f t="shared" si="1"/>
        <v>2.3788199466181801E-2</v>
      </c>
      <c r="I18" s="2"/>
      <c r="J18" s="3"/>
      <c r="K18" s="3"/>
      <c r="L18" s="3"/>
      <c r="M18" s="3"/>
      <c r="N18" s="3"/>
      <c r="O18" s="3"/>
    </row>
    <row r="19" spans="1:18">
      <c r="A19" s="4" t="s">
        <v>71</v>
      </c>
      <c r="B19" s="5">
        <f t="shared" ref="B19:H19" si="2">P2</f>
        <v>0.49512881256499602</v>
      </c>
      <c r="C19" s="5">
        <f t="shared" si="2"/>
        <v>0</v>
      </c>
      <c r="D19" s="5">
        <f t="shared" si="2"/>
        <v>0.17973234375258801</v>
      </c>
      <c r="E19" s="5">
        <f t="shared" si="2"/>
        <v>0</v>
      </c>
      <c r="F19" s="5">
        <f t="shared" si="2"/>
        <v>9.6536649417038197E-5</v>
      </c>
      <c r="G19" s="5">
        <f t="shared" si="2"/>
        <v>0</v>
      </c>
      <c r="H19" s="5">
        <f t="shared" si="2"/>
        <v>4.9595992777586003E-3</v>
      </c>
      <c r="I19" s="2"/>
      <c r="J19" s="3"/>
      <c r="K19" s="3"/>
      <c r="L19" s="3"/>
      <c r="M19" s="3"/>
      <c r="N19" s="3"/>
      <c r="O19" s="3"/>
    </row>
    <row r="20" spans="1:18">
      <c r="A20" s="6" t="s">
        <v>72</v>
      </c>
      <c r="B20" s="7">
        <f t="shared" ref="B20:H20" si="3">W2</f>
        <v>1.2599651908212199</v>
      </c>
      <c r="C20" s="7">
        <f t="shared" si="3"/>
        <v>0</v>
      </c>
      <c r="D20" s="7">
        <f t="shared" si="3"/>
        <v>0.20595722821978399</v>
      </c>
      <c r="E20" s="7">
        <f t="shared" si="3"/>
        <v>0</v>
      </c>
      <c r="F20" s="7">
        <f t="shared" si="3"/>
        <v>5.5994366493090997E-3</v>
      </c>
      <c r="G20" s="7">
        <f t="shared" si="3"/>
        <v>0</v>
      </c>
      <c r="H20" s="7">
        <f t="shared" si="3"/>
        <v>1.10234804643811E-2</v>
      </c>
      <c r="I20" s="8">
        <f>100*(D20-D19)/D20</f>
        <v>12.7331702285343</v>
      </c>
      <c r="J20" s="8">
        <f>100*(F20-F19)/F20</f>
        <v>98.275957824633124</v>
      </c>
      <c r="K20" s="3"/>
      <c r="L20" s="3"/>
      <c r="M20" s="3"/>
      <c r="N20" s="3"/>
      <c r="O20" s="3"/>
    </row>
    <row r="21" spans="1:18">
      <c r="A21" s="2" t="s">
        <v>73</v>
      </c>
      <c r="B21" s="3">
        <f t="shared" ref="B21:H21" si="4">AD2</f>
        <v>3.3283892019473198</v>
      </c>
      <c r="C21" s="3">
        <f t="shared" si="4"/>
        <v>0</v>
      </c>
      <c r="D21" s="3">
        <f t="shared" si="4"/>
        <v>0.74168365036198702</v>
      </c>
      <c r="E21" s="3">
        <f t="shared" si="4"/>
        <v>0</v>
      </c>
      <c r="F21" s="3">
        <f t="shared" si="4"/>
        <v>1.11899958886737E-2</v>
      </c>
      <c r="G21" s="3">
        <f t="shared" si="4"/>
        <v>0</v>
      </c>
      <c r="H21" s="3">
        <f t="shared" si="4"/>
        <v>3.09657658122591E-2</v>
      </c>
      <c r="K21" s="3"/>
      <c r="L21" s="3"/>
      <c r="M21" s="3"/>
      <c r="N21" s="3" t="s">
        <v>64</v>
      </c>
      <c r="O21" s="3" t="s">
        <v>60</v>
      </c>
      <c r="P21" t="s">
        <v>61</v>
      </c>
      <c r="Q21" s="3" t="s">
        <v>74</v>
      </c>
      <c r="R21" s="3"/>
    </row>
    <row r="22" spans="1:18">
      <c r="A22" s="6" t="s">
        <v>75</v>
      </c>
      <c r="B22" s="7">
        <f t="shared" ref="B22:H22" si="5">AK2</f>
        <v>1.71284493721679</v>
      </c>
      <c r="C22" s="7">
        <f t="shared" si="5"/>
        <v>0</v>
      </c>
      <c r="D22" s="7">
        <f t="shared" si="5"/>
        <v>0.46478716613802101</v>
      </c>
      <c r="E22" s="7">
        <f t="shared" si="5"/>
        <v>0</v>
      </c>
      <c r="F22" s="7">
        <f t="shared" si="5"/>
        <v>3.9601915945601997E-3</v>
      </c>
      <c r="G22" s="7">
        <f t="shared" si="5"/>
        <v>0</v>
      </c>
      <c r="H22" s="7">
        <f t="shared" si="5"/>
        <v>1.64356021163998E-2</v>
      </c>
      <c r="I22" s="8">
        <f>100*(D22-D19)/D22</f>
        <v>61.330183609412416</v>
      </c>
      <c r="J22" s="8">
        <f>100*(F22-F19)/F22</f>
        <v>97.562323763586505</v>
      </c>
      <c r="K22" s="3"/>
      <c r="L22" s="3"/>
      <c r="M22" s="3"/>
      <c r="N22" s="3" t="s">
        <v>71</v>
      </c>
      <c r="O22" s="3">
        <f>D19</f>
        <v>0.17973234375258801</v>
      </c>
      <c r="P22" s="9">
        <f>F19</f>
        <v>9.6536649417038197E-5</v>
      </c>
      <c r="Q22" s="3">
        <f>H19</f>
        <v>4.9595992777586003E-3</v>
      </c>
    </row>
    <row r="23" spans="1:18">
      <c r="A23" s="2" t="s">
        <v>76</v>
      </c>
      <c r="B23" s="3">
        <f t="shared" ref="B23:H23" si="6">AR2</f>
        <v>45.857664619786</v>
      </c>
      <c r="C23" s="3">
        <f t="shared" si="6"/>
        <v>0</v>
      </c>
      <c r="D23" s="3">
        <f t="shared" si="6"/>
        <v>20.754255735148099</v>
      </c>
      <c r="E23" s="3">
        <f t="shared" si="6"/>
        <v>0</v>
      </c>
      <c r="F23" s="3">
        <f t="shared" si="6"/>
        <v>1.2766973008221501E-2</v>
      </c>
      <c r="G23" s="3">
        <f t="shared" si="6"/>
        <v>0</v>
      </c>
      <c r="H23" s="3">
        <f t="shared" si="6"/>
        <v>0.574276175888908</v>
      </c>
      <c r="I23" s="2"/>
      <c r="J23" s="3"/>
      <c r="K23" s="3"/>
      <c r="L23" s="3"/>
      <c r="N23" s="3" t="s">
        <v>78</v>
      </c>
      <c r="O23" s="3">
        <f>D20</f>
        <v>0.20595722821978399</v>
      </c>
      <c r="P23" s="9">
        <f>F20</f>
        <v>5.5994366493090997E-3</v>
      </c>
      <c r="Q23" s="3">
        <f>H20</f>
        <v>1.10234804643811E-2</v>
      </c>
    </row>
    <row r="24" spans="1:18">
      <c r="A24" s="2" t="s">
        <v>77</v>
      </c>
      <c r="B24" s="3">
        <f t="shared" ref="B24:H24" si="7">AY2</f>
        <v>0.314291350792268</v>
      </c>
      <c r="C24" s="3">
        <f t="shared" si="7"/>
        <v>0</v>
      </c>
      <c r="D24" s="3">
        <f t="shared" si="7"/>
        <v>7.0016544944733902E-2</v>
      </c>
      <c r="E24" s="3">
        <f t="shared" si="7"/>
        <v>0</v>
      </c>
      <c r="F24" s="3">
        <f t="shared" si="7"/>
        <v>2.0027684601470002E-3</v>
      </c>
      <c r="G24" s="3">
        <f t="shared" si="7"/>
        <v>0</v>
      </c>
      <c r="H24" s="3">
        <f t="shared" si="7"/>
        <v>3.8440230516919001E-3</v>
      </c>
      <c r="I24" s="2"/>
      <c r="J24" s="3"/>
      <c r="K24" s="3"/>
      <c r="L24" s="3"/>
      <c r="M24" s="3"/>
      <c r="N24" t="s">
        <v>75</v>
      </c>
      <c r="O24" s="3">
        <f>D22</f>
        <v>0.46478716613802101</v>
      </c>
      <c r="P24" s="9">
        <f>F22</f>
        <v>3.9601915945601997E-3</v>
      </c>
      <c r="Q24" s="3">
        <f>H22</f>
        <v>1.64356021163998E-2</v>
      </c>
    </row>
    <row r="25" spans="1:18">
      <c r="N25" s="3" t="s">
        <v>73</v>
      </c>
      <c r="O25" s="3">
        <f>D21</f>
        <v>0.74168365036198702</v>
      </c>
      <c r="P25" s="9">
        <f>F21</f>
        <v>1.11899958886737E-2</v>
      </c>
      <c r="Q25" s="3">
        <f>H21</f>
        <v>3.09657658122591E-2</v>
      </c>
    </row>
    <row r="28" spans="1:18">
      <c r="B28" s="2" t="str">
        <f>A3</f>
        <v>residential_percent_change_from_baseline</v>
      </c>
    </row>
    <row r="30" spans="1:18">
      <c r="B30" s="2" t="s">
        <v>59</v>
      </c>
      <c r="C30" s="2"/>
      <c r="D30" s="2" t="s">
        <v>60</v>
      </c>
      <c r="E30" s="2"/>
      <c r="F30" s="2" t="s">
        <v>61</v>
      </c>
      <c r="I30" s="2" t="s">
        <v>62</v>
      </c>
      <c r="J30" s="2" t="s">
        <v>63</v>
      </c>
    </row>
    <row r="31" spans="1:18">
      <c r="A31" s="2" t="s">
        <v>64</v>
      </c>
      <c r="B31" s="2" t="s">
        <v>65</v>
      </c>
      <c r="C31" s="2" t="s">
        <v>66</v>
      </c>
      <c r="D31" s="2" t="s">
        <v>65</v>
      </c>
      <c r="E31" s="2" t="s">
        <v>66</v>
      </c>
      <c r="F31" s="2" t="s">
        <v>65</v>
      </c>
      <c r="G31" s="2" t="s">
        <v>66</v>
      </c>
      <c r="H31" s="2" t="s">
        <v>67</v>
      </c>
      <c r="I31" s="2"/>
      <c r="N31" s="3" t="s">
        <v>64</v>
      </c>
      <c r="O31" s="3" t="s">
        <v>60</v>
      </c>
      <c r="P31" t="s">
        <v>61</v>
      </c>
      <c r="Q31" s="3" t="s">
        <v>74</v>
      </c>
    </row>
    <row r="32" spans="1:18">
      <c r="A32" s="2" t="s">
        <v>68</v>
      </c>
      <c r="B32" s="3">
        <f t="shared" ref="B32:H32" si="8">B3</f>
        <v>63.298033312612503</v>
      </c>
      <c r="C32" s="3">
        <f t="shared" si="8"/>
        <v>0</v>
      </c>
      <c r="D32" s="3">
        <f t="shared" si="8"/>
        <v>6.5092772226768201</v>
      </c>
      <c r="E32" s="3">
        <f t="shared" si="8"/>
        <v>0</v>
      </c>
      <c r="F32" s="3">
        <f t="shared" si="8"/>
        <v>24.2927123722293</v>
      </c>
      <c r="G32" s="3">
        <f t="shared" si="8"/>
        <v>0</v>
      </c>
      <c r="H32" s="3">
        <f t="shared" si="8"/>
        <v>21.687608586076198</v>
      </c>
      <c r="I32" s="2"/>
      <c r="J32" s="3"/>
      <c r="N32" s="3" t="s">
        <v>71</v>
      </c>
      <c r="O32" s="3">
        <f>D34</f>
        <v>0.27550844882252501</v>
      </c>
      <c r="P32" s="9">
        <f>F34</f>
        <v>7.367038759341E-3</v>
      </c>
      <c r="Q32" s="3">
        <f>H34</f>
        <v>4.6647200140176502E-2</v>
      </c>
    </row>
    <row r="33" spans="1:17">
      <c r="A33" s="2" t="s">
        <v>70</v>
      </c>
      <c r="B33" s="3">
        <f t="shared" ref="B33:H33" si="9">I3</f>
        <v>105.339684226236</v>
      </c>
      <c r="C33" s="3">
        <f t="shared" si="9"/>
        <v>0</v>
      </c>
      <c r="D33" s="3">
        <f t="shared" si="9"/>
        <v>9.0482475175658408</v>
      </c>
      <c r="E33" s="3">
        <f t="shared" si="9"/>
        <v>0</v>
      </c>
      <c r="F33" s="3">
        <f t="shared" si="9"/>
        <v>0.51669676690875599</v>
      </c>
      <c r="G33" s="3">
        <f t="shared" si="9"/>
        <v>0</v>
      </c>
      <c r="H33" s="3">
        <f t="shared" si="9"/>
        <v>1.7664876523808299</v>
      </c>
      <c r="I33" s="2"/>
      <c r="J33" s="3"/>
      <c r="N33" s="3" t="s">
        <v>72</v>
      </c>
      <c r="O33" s="3">
        <f>D35</f>
        <v>0.64836246548557397</v>
      </c>
      <c r="P33" s="9">
        <f>F35</f>
        <v>0.26151443580877498</v>
      </c>
      <c r="Q33" s="3">
        <f>H35</f>
        <v>0.31818398577489998</v>
      </c>
    </row>
    <row r="34" spans="1:17">
      <c r="A34" s="4" t="s">
        <v>71</v>
      </c>
      <c r="B34" s="5">
        <f t="shared" ref="B34:H34" si="10">P3</f>
        <v>72.274356479199696</v>
      </c>
      <c r="C34" s="5">
        <f t="shared" si="10"/>
        <v>0</v>
      </c>
      <c r="D34" s="5">
        <f>R3</f>
        <v>0.27550844882252501</v>
      </c>
      <c r="E34" s="5">
        <f t="shared" si="10"/>
        <v>0</v>
      </c>
      <c r="F34" s="5">
        <f t="shared" si="10"/>
        <v>7.367038759341E-3</v>
      </c>
      <c r="G34" s="5">
        <f t="shared" si="10"/>
        <v>0</v>
      </c>
      <c r="H34" s="5">
        <f t="shared" si="10"/>
        <v>4.6647200140176502E-2</v>
      </c>
      <c r="I34" s="2"/>
      <c r="J34" s="3"/>
      <c r="N34" s="3" t="s">
        <v>75</v>
      </c>
      <c r="O34" s="3">
        <f>D37</f>
        <v>0.308439604250142</v>
      </c>
      <c r="P34" s="9">
        <f>F37</f>
        <v>9.5429620568435305E-2</v>
      </c>
      <c r="Q34" s="3">
        <f>H37</f>
        <v>0.12663355334694501</v>
      </c>
    </row>
    <row r="35" spans="1:17">
      <c r="A35" s="6" t="s">
        <v>72</v>
      </c>
      <c r="B35" s="7">
        <f t="shared" ref="B35:H35" si="11">W3</f>
        <v>94.583544766677093</v>
      </c>
      <c r="C35" s="7">
        <f t="shared" si="11"/>
        <v>0</v>
      </c>
      <c r="D35" s="7">
        <f>Y3</f>
        <v>0.64836246548557397</v>
      </c>
      <c r="E35" s="7">
        <f t="shared" si="11"/>
        <v>0</v>
      </c>
      <c r="F35" s="7">
        <f t="shared" si="11"/>
        <v>0.26151443580877498</v>
      </c>
      <c r="G35" s="7">
        <f t="shared" si="11"/>
        <v>0</v>
      </c>
      <c r="H35" s="7">
        <f t="shared" si="11"/>
        <v>0.31818398577489998</v>
      </c>
      <c r="I35" s="8">
        <f>100*(D35-D34)/D35</f>
        <v>57.50703295012763</v>
      </c>
      <c r="J35" s="8">
        <f>100*(F35-F34)/F35</f>
        <v>97.182932278075867</v>
      </c>
      <c r="N35" t="s">
        <v>73</v>
      </c>
      <c r="O35" s="3">
        <f>D36</f>
        <v>1.20669362256472</v>
      </c>
      <c r="P35" s="9">
        <f>F36</f>
        <v>0.56373453944670504</v>
      </c>
      <c r="Q35" s="3">
        <f>H36</f>
        <v>0.65792191818913404</v>
      </c>
    </row>
    <row r="36" spans="1:17">
      <c r="A36" s="2" t="s">
        <v>73</v>
      </c>
      <c r="B36" s="3">
        <f t="shared" ref="B36:H36" si="12">AD3</f>
        <v>163.23473594261199</v>
      </c>
      <c r="C36" s="3">
        <f t="shared" si="12"/>
        <v>0</v>
      </c>
      <c r="D36" s="3">
        <f t="shared" si="12"/>
        <v>1.20669362256472</v>
      </c>
      <c r="E36" s="3">
        <f t="shared" si="12"/>
        <v>0</v>
      </c>
      <c r="F36" s="3">
        <f t="shared" si="12"/>
        <v>0.56373453944670504</v>
      </c>
      <c r="G36" s="3">
        <f t="shared" si="12"/>
        <v>0</v>
      </c>
      <c r="H36" s="3">
        <f t="shared" si="12"/>
        <v>0.65792191818913404</v>
      </c>
    </row>
    <row r="37" spans="1:17">
      <c r="A37" s="6" t="s">
        <v>75</v>
      </c>
      <c r="B37" s="7">
        <f t="shared" ref="B37:H37" si="13">AK3</f>
        <v>85.525817700354906</v>
      </c>
      <c r="C37" s="7">
        <f t="shared" si="13"/>
        <v>0</v>
      </c>
      <c r="D37" s="7">
        <f t="shared" si="13"/>
        <v>0.308439604250142</v>
      </c>
      <c r="E37" s="7">
        <f t="shared" si="13"/>
        <v>0</v>
      </c>
      <c r="F37" s="7">
        <f t="shared" si="13"/>
        <v>9.5429620568435305E-2</v>
      </c>
      <c r="G37" s="7">
        <f t="shared" si="13"/>
        <v>0</v>
      </c>
      <c r="H37" s="7">
        <f t="shared" si="13"/>
        <v>0.12663355334694501</v>
      </c>
      <c r="I37" s="8">
        <f>100*(D37-D34)/D37</f>
        <v>10.6766948776494</v>
      </c>
      <c r="J37" s="8">
        <f>100*(F37-F34)/F37</f>
        <v>92.280134076339664</v>
      </c>
    </row>
    <row r="38" spans="1:17">
      <c r="A38" s="2" t="s">
        <v>76</v>
      </c>
      <c r="B38" s="3">
        <f t="shared" ref="B38:H38" si="14">AR3</f>
        <v>345.02607219246499</v>
      </c>
      <c r="C38" s="3">
        <f t="shared" si="14"/>
        <v>0</v>
      </c>
      <c r="D38" s="3">
        <f t="shared" si="14"/>
        <v>27.038759270806501</v>
      </c>
      <c r="E38" s="3">
        <f t="shared" si="14"/>
        <v>0</v>
      </c>
      <c r="F38" s="3">
        <f t="shared" si="14"/>
        <v>0.65021635112361098</v>
      </c>
      <c r="G38" s="3">
        <f t="shared" si="14"/>
        <v>0</v>
      </c>
      <c r="H38" s="3">
        <f t="shared" si="14"/>
        <v>4.51588642515655</v>
      </c>
      <c r="I38" s="2"/>
      <c r="J38" s="3"/>
    </row>
    <row r="39" spans="1:17">
      <c r="A39" s="2" t="s">
        <v>77</v>
      </c>
      <c r="B39" s="3">
        <f t="shared" ref="B39:H39" si="15">AY3</f>
        <v>49.342438198392301</v>
      </c>
      <c r="C39" s="3">
        <f t="shared" si="15"/>
        <v>0</v>
      </c>
      <c r="D39" s="3">
        <f t="shared" si="15"/>
        <v>0.56932338077629197</v>
      </c>
      <c r="E39" s="3">
        <f t="shared" si="15"/>
        <v>0</v>
      </c>
      <c r="F39" s="3">
        <f t="shared" si="15"/>
        <v>0.119259856916288</v>
      </c>
      <c r="G39" s="3">
        <f t="shared" si="15"/>
        <v>0</v>
      </c>
      <c r="H39" s="3">
        <f t="shared" si="15"/>
        <v>0.18518987438238099</v>
      </c>
      <c r="I39" s="2"/>
      <c r="J39" s="3"/>
    </row>
    <row r="43" spans="1:17">
      <c r="B43" s="2">
        <f>A4</f>
        <v>0</v>
      </c>
    </row>
    <row r="45" spans="1:17">
      <c r="B45" s="2" t="s">
        <v>59</v>
      </c>
      <c r="C45" s="2"/>
      <c r="D45" s="2" t="s">
        <v>60</v>
      </c>
      <c r="E45" s="2"/>
      <c r="F45" s="2" t="s">
        <v>61</v>
      </c>
      <c r="I45" s="2" t="s">
        <v>62</v>
      </c>
      <c r="J45" s="2" t="s">
        <v>63</v>
      </c>
    </row>
    <row r="46" spans="1:17">
      <c r="A46" s="2" t="s">
        <v>64</v>
      </c>
      <c r="B46" s="2" t="s">
        <v>65</v>
      </c>
      <c r="C46" s="2" t="s">
        <v>66</v>
      </c>
      <c r="D46" s="2" t="s">
        <v>65</v>
      </c>
      <c r="E46" s="2" t="s">
        <v>66</v>
      </c>
      <c r="F46" s="2" t="s">
        <v>65</v>
      </c>
      <c r="G46" s="2" t="s">
        <v>66</v>
      </c>
      <c r="H46" s="2" t="s">
        <v>67</v>
      </c>
      <c r="I46" s="2"/>
      <c r="N46" s="3" t="s">
        <v>64</v>
      </c>
      <c r="O46" s="3" t="s">
        <v>60</v>
      </c>
      <c r="P46" t="s">
        <v>61</v>
      </c>
      <c r="Q46" s="3" t="s">
        <v>74</v>
      </c>
    </row>
    <row r="47" spans="1:17">
      <c r="A47" s="2" t="s">
        <v>68</v>
      </c>
      <c r="B47" s="3">
        <f>B4</f>
        <v>0</v>
      </c>
      <c r="C47" s="3">
        <f t="shared" ref="C47:G47" si="16">C4</f>
        <v>0</v>
      </c>
      <c r="D47" s="3">
        <f t="shared" si="16"/>
        <v>0</v>
      </c>
      <c r="E47" s="3">
        <f t="shared" si="16"/>
        <v>0</v>
      </c>
      <c r="F47" s="3">
        <f t="shared" si="16"/>
        <v>0</v>
      </c>
      <c r="G47" s="3">
        <f t="shared" si="16"/>
        <v>0</v>
      </c>
      <c r="H47" s="3">
        <f>H4</f>
        <v>0</v>
      </c>
      <c r="I47" s="2"/>
      <c r="J47" s="3"/>
      <c r="N47" s="3" t="s">
        <v>71</v>
      </c>
      <c r="O47" s="3">
        <f>D49</f>
        <v>0</v>
      </c>
      <c r="P47" s="9">
        <f>F49</f>
        <v>0</v>
      </c>
      <c r="Q47" s="3">
        <f>H49</f>
        <v>0</v>
      </c>
    </row>
    <row r="48" spans="1:17">
      <c r="A48" s="2" t="s">
        <v>70</v>
      </c>
      <c r="B48" s="3">
        <f>I4</f>
        <v>0</v>
      </c>
      <c r="C48" s="3">
        <f t="shared" ref="C48:H48" si="17">J4</f>
        <v>0</v>
      </c>
      <c r="D48" s="3">
        <f t="shared" si="17"/>
        <v>0</v>
      </c>
      <c r="E48" s="3">
        <f t="shared" si="17"/>
        <v>0</v>
      </c>
      <c r="F48" s="3">
        <f t="shared" si="17"/>
        <v>0</v>
      </c>
      <c r="G48" s="3">
        <f t="shared" si="17"/>
        <v>0</v>
      </c>
      <c r="H48" s="3">
        <f t="shared" si="17"/>
        <v>0</v>
      </c>
      <c r="I48" s="2"/>
      <c r="J48" s="3"/>
      <c r="N48" s="3" t="s">
        <v>72</v>
      </c>
      <c r="O48" s="3">
        <f>D50</f>
        <v>0</v>
      </c>
      <c r="P48" s="9">
        <f>F50</f>
        <v>0</v>
      </c>
      <c r="Q48" s="3">
        <f>H50</f>
        <v>0</v>
      </c>
    </row>
    <row r="49" spans="1:17">
      <c r="A49" s="4" t="s">
        <v>71</v>
      </c>
      <c r="B49" s="5">
        <f>P4</f>
        <v>0</v>
      </c>
      <c r="C49" s="5">
        <f t="shared" ref="C49:H49" si="18">Q4</f>
        <v>0</v>
      </c>
      <c r="D49" s="5">
        <f>R4</f>
        <v>0</v>
      </c>
      <c r="E49" s="5">
        <f t="shared" si="18"/>
        <v>0</v>
      </c>
      <c r="F49" s="5">
        <f t="shared" si="18"/>
        <v>0</v>
      </c>
      <c r="G49" s="5">
        <f t="shared" si="18"/>
        <v>0</v>
      </c>
      <c r="H49" s="5">
        <f t="shared" si="18"/>
        <v>0</v>
      </c>
      <c r="I49" s="2"/>
      <c r="J49" s="3"/>
      <c r="N49" s="3" t="s">
        <v>75</v>
      </c>
      <c r="O49" s="3">
        <f>D52</f>
        <v>0</v>
      </c>
      <c r="P49" s="9">
        <f>F52</f>
        <v>0</v>
      </c>
      <c r="Q49" s="3">
        <f>H52</f>
        <v>0</v>
      </c>
    </row>
    <row r="50" spans="1:17">
      <c r="A50" s="6" t="s">
        <v>72</v>
      </c>
      <c r="B50" s="7">
        <f>W4</f>
        <v>0</v>
      </c>
      <c r="C50" s="7">
        <f t="shared" ref="C50:H50" si="19">X4</f>
        <v>0</v>
      </c>
      <c r="D50" s="7">
        <f t="shared" si="19"/>
        <v>0</v>
      </c>
      <c r="E50" s="7">
        <f t="shared" si="19"/>
        <v>0</v>
      </c>
      <c r="F50" s="7">
        <f t="shared" si="19"/>
        <v>0</v>
      </c>
      <c r="G50" s="7">
        <f t="shared" si="19"/>
        <v>0</v>
      </c>
      <c r="H50" s="7">
        <f t="shared" si="19"/>
        <v>0</v>
      </c>
      <c r="I50" s="8" t="e">
        <f>100*(D50-D49)/D50</f>
        <v>#DIV/0!</v>
      </c>
      <c r="J50" s="8" t="e">
        <f>100*(F50-F49)/F50</f>
        <v>#DIV/0!</v>
      </c>
      <c r="N50" t="s">
        <v>73</v>
      </c>
      <c r="O50" s="3">
        <f>D51</f>
        <v>0</v>
      </c>
      <c r="P50" s="9">
        <f>F51</f>
        <v>0</v>
      </c>
      <c r="Q50" s="3">
        <f>H51</f>
        <v>0</v>
      </c>
    </row>
    <row r="51" spans="1:17">
      <c r="A51" s="2" t="s">
        <v>73</v>
      </c>
      <c r="B51" s="3">
        <f>AD4</f>
        <v>0</v>
      </c>
      <c r="C51" s="3">
        <f t="shared" ref="C51:H51" si="20">AE4</f>
        <v>0</v>
      </c>
      <c r="D51" s="3">
        <f t="shared" si="20"/>
        <v>0</v>
      </c>
      <c r="E51" s="3">
        <f t="shared" si="20"/>
        <v>0</v>
      </c>
      <c r="F51" s="3">
        <f t="shared" si="20"/>
        <v>0</v>
      </c>
      <c r="G51" s="3">
        <f t="shared" si="20"/>
        <v>0</v>
      </c>
      <c r="H51" s="3">
        <f t="shared" si="20"/>
        <v>0</v>
      </c>
    </row>
    <row r="52" spans="1:17">
      <c r="A52" s="6" t="s">
        <v>75</v>
      </c>
      <c r="B52" s="7">
        <f>AK4</f>
        <v>0</v>
      </c>
      <c r="C52" s="7">
        <f t="shared" ref="C52:H52" si="21">AL4</f>
        <v>0</v>
      </c>
      <c r="D52" s="7">
        <f t="shared" si="21"/>
        <v>0</v>
      </c>
      <c r="E52" s="7">
        <f t="shared" si="21"/>
        <v>0</v>
      </c>
      <c r="F52" s="7">
        <f t="shared" si="21"/>
        <v>0</v>
      </c>
      <c r="G52" s="7">
        <f t="shared" si="21"/>
        <v>0</v>
      </c>
      <c r="H52" s="7">
        <f t="shared" si="21"/>
        <v>0</v>
      </c>
      <c r="I52" s="8" t="e">
        <f>100*(D52-D49)/D52</f>
        <v>#DIV/0!</v>
      </c>
      <c r="J52" s="8" t="e">
        <f>100*(F52-F49)/F52</f>
        <v>#DIV/0!</v>
      </c>
    </row>
    <row r="53" spans="1:17">
      <c r="A53" s="2" t="s">
        <v>76</v>
      </c>
      <c r="B53" s="3">
        <f>AR4</f>
        <v>0</v>
      </c>
      <c r="C53" s="3">
        <f t="shared" ref="C53:H53" si="22">AS4</f>
        <v>0</v>
      </c>
      <c r="D53" s="3">
        <f t="shared" si="22"/>
        <v>0</v>
      </c>
      <c r="E53" s="3">
        <f t="shared" si="22"/>
        <v>0</v>
      </c>
      <c r="F53" s="3">
        <f t="shared" si="22"/>
        <v>0</v>
      </c>
      <c r="G53" s="3">
        <f t="shared" si="22"/>
        <v>0</v>
      </c>
      <c r="H53" s="3">
        <f t="shared" si="22"/>
        <v>0</v>
      </c>
      <c r="I53" s="2"/>
      <c r="J53" s="3"/>
    </row>
    <row r="54" spans="1:17">
      <c r="A54" s="2" t="s">
        <v>77</v>
      </c>
      <c r="B54" s="3">
        <f>AY4</f>
        <v>0</v>
      </c>
      <c r="C54" s="3">
        <f t="shared" ref="C54:H54" si="23">AZ4</f>
        <v>0</v>
      </c>
      <c r="D54" s="3">
        <f t="shared" si="23"/>
        <v>0</v>
      </c>
      <c r="E54" s="3">
        <f t="shared" si="23"/>
        <v>0</v>
      </c>
      <c r="F54" s="3">
        <f t="shared" si="23"/>
        <v>0</v>
      </c>
      <c r="G54" s="3">
        <f t="shared" si="23"/>
        <v>0</v>
      </c>
      <c r="H54" s="3">
        <f t="shared" si="23"/>
        <v>0</v>
      </c>
      <c r="I54" s="2"/>
      <c r="J54" s="3"/>
    </row>
    <row r="57" spans="1:17">
      <c r="B57" s="2">
        <f>A5</f>
        <v>0</v>
      </c>
    </row>
    <row r="59" spans="1:17">
      <c r="B59" s="2" t="s">
        <v>59</v>
      </c>
      <c r="C59" s="2"/>
      <c r="D59" s="2" t="s">
        <v>60</v>
      </c>
      <c r="E59" s="2"/>
      <c r="F59" s="2" t="s">
        <v>61</v>
      </c>
      <c r="I59" s="2" t="s">
        <v>62</v>
      </c>
      <c r="J59" s="2" t="s">
        <v>63</v>
      </c>
    </row>
    <row r="60" spans="1:17">
      <c r="A60" s="2" t="s">
        <v>64</v>
      </c>
      <c r="B60" s="2" t="s">
        <v>65</v>
      </c>
      <c r="C60" s="2" t="s">
        <v>66</v>
      </c>
      <c r="D60" s="2" t="s">
        <v>65</v>
      </c>
      <c r="E60" s="2" t="s">
        <v>66</v>
      </c>
      <c r="F60" s="2" t="s">
        <v>65</v>
      </c>
      <c r="G60" s="2" t="s">
        <v>66</v>
      </c>
      <c r="H60" s="2" t="s">
        <v>67</v>
      </c>
      <c r="I60" s="2"/>
    </row>
    <row r="61" spans="1:17">
      <c r="A61" s="2" t="s">
        <v>68</v>
      </c>
      <c r="B61" s="3">
        <f>B5</f>
        <v>0</v>
      </c>
      <c r="C61" s="3">
        <f t="shared" ref="C61:H61" si="24">C5</f>
        <v>0</v>
      </c>
      <c r="D61" s="3">
        <f t="shared" si="24"/>
        <v>0</v>
      </c>
      <c r="E61" s="3">
        <f t="shared" si="24"/>
        <v>0</v>
      </c>
      <c r="F61" s="3">
        <f t="shared" si="24"/>
        <v>0</v>
      </c>
      <c r="G61" s="3">
        <f t="shared" si="24"/>
        <v>0</v>
      </c>
      <c r="H61" s="3">
        <f t="shared" si="24"/>
        <v>0</v>
      </c>
      <c r="I61" s="2"/>
      <c r="J61" s="3"/>
    </row>
    <row r="62" spans="1:17">
      <c r="A62" s="2" t="s">
        <v>70</v>
      </c>
      <c r="B62" s="3">
        <f>I5</f>
        <v>0</v>
      </c>
      <c r="C62" s="3">
        <f t="shared" ref="C62:H62" si="25">J5</f>
        <v>0</v>
      </c>
      <c r="D62" s="3">
        <f t="shared" si="25"/>
        <v>0</v>
      </c>
      <c r="E62" s="3">
        <f t="shared" si="25"/>
        <v>0</v>
      </c>
      <c r="F62" s="3">
        <f t="shared" si="25"/>
        <v>0</v>
      </c>
      <c r="G62" s="3">
        <f t="shared" si="25"/>
        <v>0</v>
      </c>
      <c r="H62" s="3">
        <f t="shared" si="25"/>
        <v>0</v>
      </c>
      <c r="I62" s="2"/>
      <c r="J62" s="3"/>
    </row>
    <row r="63" spans="1:17">
      <c r="A63" s="4" t="s">
        <v>71</v>
      </c>
      <c r="B63" s="5">
        <f>P5</f>
        <v>0</v>
      </c>
      <c r="C63" s="5">
        <f t="shared" ref="C63:H63" si="26">Q5</f>
        <v>0</v>
      </c>
      <c r="D63" s="5">
        <f t="shared" si="26"/>
        <v>0</v>
      </c>
      <c r="E63" s="5">
        <f t="shared" si="26"/>
        <v>0</v>
      </c>
      <c r="F63" s="5">
        <f t="shared" si="26"/>
        <v>0</v>
      </c>
      <c r="G63" s="5">
        <f t="shared" si="26"/>
        <v>0</v>
      </c>
      <c r="H63" s="5">
        <f t="shared" si="26"/>
        <v>0</v>
      </c>
      <c r="I63" s="2"/>
      <c r="J63" s="3"/>
    </row>
    <row r="64" spans="1:17">
      <c r="A64" s="6" t="s">
        <v>72</v>
      </c>
      <c r="B64" s="7">
        <f>W5</f>
        <v>0</v>
      </c>
      <c r="C64" s="7">
        <f t="shared" ref="C64:H64" si="27">X5</f>
        <v>0</v>
      </c>
      <c r="D64" s="7">
        <f t="shared" si="27"/>
        <v>0</v>
      </c>
      <c r="E64" s="7">
        <f t="shared" si="27"/>
        <v>0</v>
      </c>
      <c r="F64" s="7">
        <f t="shared" si="27"/>
        <v>0</v>
      </c>
      <c r="G64" s="7">
        <f t="shared" si="27"/>
        <v>0</v>
      </c>
      <c r="H64" s="7">
        <f t="shared" si="27"/>
        <v>0</v>
      </c>
      <c r="I64" s="8" t="e">
        <f>100*(D64-D63)/D64</f>
        <v>#DIV/0!</v>
      </c>
      <c r="J64" s="8" t="e">
        <f>100*(F64-F63)/F64</f>
        <v>#DIV/0!</v>
      </c>
    </row>
    <row r="65" spans="1:10">
      <c r="A65" s="2" t="s">
        <v>73</v>
      </c>
      <c r="B65" s="3">
        <f>AD5</f>
        <v>0</v>
      </c>
      <c r="C65" s="3">
        <f t="shared" ref="C65:H65" si="28">AE5</f>
        <v>0</v>
      </c>
      <c r="D65" s="3">
        <f t="shared" si="28"/>
        <v>0</v>
      </c>
      <c r="E65" s="3">
        <f t="shared" si="28"/>
        <v>0</v>
      </c>
      <c r="F65" s="3">
        <f t="shared" si="28"/>
        <v>0</v>
      </c>
      <c r="G65" s="3">
        <f t="shared" si="28"/>
        <v>0</v>
      </c>
      <c r="H65" s="3">
        <f t="shared" si="28"/>
        <v>0</v>
      </c>
    </row>
    <row r="66" spans="1:10">
      <c r="A66" s="6" t="s">
        <v>75</v>
      </c>
      <c r="B66" s="7">
        <f>AK5</f>
        <v>0</v>
      </c>
      <c r="C66" s="7">
        <f t="shared" ref="C66:H66" si="29">AL5</f>
        <v>0</v>
      </c>
      <c r="D66" s="7">
        <f t="shared" si="29"/>
        <v>0</v>
      </c>
      <c r="E66" s="7">
        <f t="shared" si="29"/>
        <v>0</v>
      </c>
      <c r="F66" s="7">
        <f t="shared" si="29"/>
        <v>0</v>
      </c>
      <c r="G66" s="7">
        <f t="shared" si="29"/>
        <v>0</v>
      </c>
      <c r="H66" s="7">
        <f t="shared" si="29"/>
        <v>0</v>
      </c>
      <c r="I66" s="8" t="e">
        <f>100*(D66-D63)/D66</f>
        <v>#DIV/0!</v>
      </c>
      <c r="J66" s="8" t="e">
        <f>100*(F66-F63)/F66</f>
        <v>#DIV/0!</v>
      </c>
    </row>
    <row r="67" spans="1:10">
      <c r="A67" s="2" t="s">
        <v>76</v>
      </c>
      <c r="B67" s="3">
        <f>AR5</f>
        <v>0</v>
      </c>
      <c r="C67" s="3">
        <f t="shared" ref="C67:H67" si="30">AS5</f>
        <v>0</v>
      </c>
      <c r="D67" s="3">
        <f t="shared" si="30"/>
        <v>0</v>
      </c>
      <c r="E67" s="3">
        <f t="shared" si="30"/>
        <v>0</v>
      </c>
      <c r="F67" s="3">
        <f t="shared" si="30"/>
        <v>0</v>
      </c>
      <c r="G67" s="3">
        <f t="shared" si="30"/>
        <v>0</v>
      </c>
      <c r="H67" s="3">
        <f t="shared" si="30"/>
        <v>0</v>
      </c>
      <c r="I67" s="2"/>
      <c r="J67" s="3"/>
    </row>
    <row r="68" spans="1:10">
      <c r="A68" s="2" t="s">
        <v>77</v>
      </c>
      <c r="B68" s="3">
        <f>AY5</f>
        <v>0</v>
      </c>
      <c r="C68" s="3">
        <f t="shared" ref="C68:H68" si="31">AZ5</f>
        <v>0</v>
      </c>
      <c r="D68" s="3">
        <f t="shared" si="31"/>
        <v>0</v>
      </c>
      <c r="E68" s="3">
        <f t="shared" si="31"/>
        <v>0</v>
      </c>
      <c r="F68" s="3">
        <f t="shared" si="31"/>
        <v>0</v>
      </c>
      <c r="G68" s="3">
        <f t="shared" si="31"/>
        <v>0</v>
      </c>
      <c r="H68" s="3">
        <f t="shared" si="31"/>
        <v>0</v>
      </c>
      <c r="I68" s="2"/>
      <c r="J68" s="3"/>
    </row>
    <row r="71" spans="1:10">
      <c r="B71" s="2">
        <f>A6</f>
        <v>0</v>
      </c>
    </row>
    <row r="73" spans="1:10">
      <c r="B73" s="2" t="s">
        <v>59</v>
      </c>
      <c r="C73" s="2"/>
      <c r="D73" s="2" t="s">
        <v>60</v>
      </c>
      <c r="E73" s="2"/>
      <c r="F73" s="2" t="s">
        <v>61</v>
      </c>
      <c r="I73" s="2" t="s">
        <v>62</v>
      </c>
      <c r="J73" s="2" t="s">
        <v>63</v>
      </c>
    </row>
    <row r="74" spans="1:10">
      <c r="A74" s="2" t="s">
        <v>64</v>
      </c>
      <c r="B74" s="2" t="s">
        <v>65</v>
      </c>
      <c r="C74" s="2" t="s">
        <v>66</v>
      </c>
      <c r="D74" s="2" t="s">
        <v>65</v>
      </c>
      <c r="E74" s="2" t="s">
        <v>66</v>
      </c>
      <c r="F74" s="2" t="s">
        <v>65</v>
      </c>
      <c r="G74" s="2" t="s">
        <v>66</v>
      </c>
      <c r="H74" s="2" t="s">
        <v>67</v>
      </c>
      <c r="I74" s="2"/>
    </row>
    <row r="75" spans="1:10">
      <c r="A75" s="2" t="s">
        <v>68</v>
      </c>
      <c r="B75" s="3">
        <f>B6</f>
        <v>0</v>
      </c>
      <c r="C75" s="3">
        <f t="shared" ref="C75:H75" si="32">C6</f>
        <v>0</v>
      </c>
      <c r="D75" s="3">
        <f t="shared" si="32"/>
        <v>0</v>
      </c>
      <c r="E75" s="3">
        <f t="shared" si="32"/>
        <v>0</v>
      </c>
      <c r="F75" s="3">
        <f t="shared" si="32"/>
        <v>0</v>
      </c>
      <c r="G75" s="3">
        <f t="shared" si="32"/>
        <v>0</v>
      </c>
      <c r="H75" s="3">
        <f t="shared" si="32"/>
        <v>0</v>
      </c>
      <c r="I75" s="2"/>
      <c r="J75" s="3"/>
    </row>
    <row r="76" spans="1:10">
      <c r="A76" s="2" t="s">
        <v>70</v>
      </c>
      <c r="B76" s="3">
        <f>I6</f>
        <v>0</v>
      </c>
      <c r="C76" s="3">
        <f t="shared" ref="C76:H76" si="33">J6</f>
        <v>0</v>
      </c>
      <c r="D76" s="3">
        <f t="shared" si="33"/>
        <v>0</v>
      </c>
      <c r="E76" s="3">
        <f t="shared" si="33"/>
        <v>0</v>
      </c>
      <c r="F76" s="3">
        <f t="shared" si="33"/>
        <v>0</v>
      </c>
      <c r="G76" s="3">
        <f t="shared" si="33"/>
        <v>0</v>
      </c>
      <c r="H76" s="3">
        <f t="shared" si="33"/>
        <v>0</v>
      </c>
      <c r="I76" s="2"/>
      <c r="J76" s="3"/>
    </row>
    <row r="77" spans="1:10">
      <c r="A77" s="4" t="s">
        <v>71</v>
      </c>
      <c r="B77" s="5">
        <f>P6</f>
        <v>0</v>
      </c>
      <c r="C77" s="5">
        <f t="shared" ref="C77:H77" si="34">Q6</f>
        <v>0</v>
      </c>
      <c r="D77" s="5">
        <f t="shared" si="34"/>
        <v>0</v>
      </c>
      <c r="E77" s="5">
        <f t="shared" si="34"/>
        <v>0</v>
      </c>
      <c r="F77" s="5">
        <f t="shared" si="34"/>
        <v>0</v>
      </c>
      <c r="G77" s="5">
        <f t="shared" si="34"/>
        <v>0</v>
      </c>
      <c r="H77" s="5">
        <f t="shared" si="34"/>
        <v>0</v>
      </c>
      <c r="I77" s="2"/>
      <c r="J77" s="3"/>
    </row>
    <row r="78" spans="1:10">
      <c r="A78" s="6" t="s">
        <v>72</v>
      </c>
      <c r="B78" s="7">
        <f>W6</f>
        <v>0</v>
      </c>
      <c r="C78" s="7">
        <f t="shared" ref="C78:H78" si="35">X6</f>
        <v>0</v>
      </c>
      <c r="D78" s="7">
        <f t="shared" si="35"/>
        <v>0</v>
      </c>
      <c r="E78" s="7">
        <f t="shared" si="35"/>
        <v>0</v>
      </c>
      <c r="F78" s="7">
        <f t="shared" si="35"/>
        <v>0</v>
      </c>
      <c r="G78" s="7">
        <f t="shared" si="35"/>
        <v>0</v>
      </c>
      <c r="H78" s="7">
        <f t="shared" si="35"/>
        <v>0</v>
      </c>
      <c r="I78" s="8" t="e">
        <f>100*(D78-D77)/D78</f>
        <v>#DIV/0!</v>
      </c>
      <c r="J78" s="8" t="e">
        <f>100*(F78-F77)/F78</f>
        <v>#DIV/0!</v>
      </c>
    </row>
    <row r="79" spans="1:10">
      <c r="A79" s="2" t="s">
        <v>73</v>
      </c>
      <c r="B79" s="3">
        <f>AD6</f>
        <v>0</v>
      </c>
      <c r="C79" s="3">
        <f t="shared" ref="C79:H79" si="36">AE6</f>
        <v>0</v>
      </c>
      <c r="D79" s="3">
        <f t="shared" si="36"/>
        <v>0</v>
      </c>
      <c r="E79" s="3">
        <f t="shared" si="36"/>
        <v>0</v>
      </c>
      <c r="F79" s="3">
        <f t="shared" si="36"/>
        <v>0</v>
      </c>
      <c r="G79" s="3">
        <f t="shared" si="36"/>
        <v>0</v>
      </c>
      <c r="H79" s="3">
        <f t="shared" si="36"/>
        <v>0</v>
      </c>
    </row>
    <row r="80" spans="1:10">
      <c r="A80" s="6" t="s">
        <v>75</v>
      </c>
      <c r="B80" s="7">
        <f>AK6</f>
        <v>0</v>
      </c>
      <c r="C80" s="7">
        <f t="shared" ref="C80:H80" si="37">AL6</f>
        <v>0</v>
      </c>
      <c r="D80" s="7">
        <f t="shared" si="37"/>
        <v>0</v>
      </c>
      <c r="E80" s="7">
        <f t="shared" si="37"/>
        <v>0</v>
      </c>
      <c r="F80" s="7">
        <f t="shared" si="37"/>
        <v>0</v>
      </c>
      <c r="G80" s="7">
        <f t="shared" si="37"/>
        <v>0</v>
      </c>
      <c r="H80" s="7">
        <f t="shared" si="37"/>
        <v>0</v>
      </c>
      <c r="I80" s="8" t="e">
        <f>100*(D80-D77)/D80</f>
        <v>#DIV/0!</v>
      </c>
      <c r="J80" s="8" t="e">
        <f>100*(F80-F77)/F80</f>
        <v>#DIV/0!</v>
      </c>
    </row>
    <row r="81" spans="1:10">
      <c r="A81" s="2" t="s">
        <v>76</v>
      </c>
      <c r="B81" s="3">
        <f>AR6</f>
        <v>0</v>
      </c>
      <c r="C81" s="3">
        <f t="shared" ref="C81:H81" si="38">AS6</f>
        <v>0</v>
      </c>
      <c r="D81" s="3">
        <f t="shared" si="38"/>
        <v>0</v>
      </c>
      <c r="E81" s="3">
        <f t="shared" si="38"/>
        <v>0</v>
      </c>
      <c r="F81" s="3">
        <f t="shared" si="38"/>
        <v>0</v>
      </c>
      <c r="G81" s="3">
        <f t="shared" si="38"/>
        <v>0</v>
      </c>
      <c r="H81" s="3">
        <f t="shared" si="38"/>
        <v>0</v>
      </c>
      <c r="I81" s="2"/>
      <c r="J81" s="3"/>
    </row>
    <row r="82" spans="1:10">
      <c r="A82" s="2" t="s">
        <v>77</v>
      </c>
      <c r="B82" s="3">
        <f>AY6</f>
        <v>0</v>
      </c>
      <c r="C82" s="3">
        <f t="shared" ref="C82:H82" si="39">AZ6</f>
        <v>0</v>
      </c>
      <c r="D82" s="3">
        <f t="shared" si="39"/>
        <v>0</v>
      </c>
      <c r="E82" s="3">
        <f t="shared" si="39"/>
        <v>0</v>
      </c>
      <c r="F82" s="3">
        <f t="shared" si="39"/>
        <v>0</v>
      </c>
      <c r="G82" s="3">
        <f t="shared" si="39"/>
        <v>0</v>
      </c>
      <c r="H82" s="3">
        <f t="shared" si="39"/>
        <v>0</v>
      </c>
      <c r="I82" s="2"/>
      <c r="J82" s="3"/>
    </row>
    <row r="85" spans="1:10">
      <c r="B85" s="2">
        <f>A7</f>
        <v>0</v>
      </c>
    </row>
    <row r="87" spans="1:10">
      <c r="B87" s="2" t="s">
        <v>59</v>
      </c>
      <c r="C87" s="2"/>
      <c r="D87" s="2" t="s">
        <v>60</v>
      </c>
      <c r="E87" s="2"/>
      <c r="F87" s="2" t="s">
        <v>61</v>
      </c>
      <c r="I87" s="2" t="s">
        <v>62</v>
      </c>
      <c r="J87" s="2" t="s">
        <v>63</v>
      </c>
    </row>
    <row r="88" spans="1:10">
      <c r="A88" s="2" t="s">
        <v>64</v>
      </c>
      <c r="B88" s="2" t="s">
        <v>65</v>
      </c>
      <c r="C88" s="2" t="s">
        <v>66</v>
      </c>
      <c r="D88" s="2" t="s">
        <v>65</v>
      </c>
      <c r="E88" s="2" t="s">
        <v>66</v>
      </c>
      <c r="F88" s="2" t="s">
        <v>65</v>
      </c>
      <c r="G88" s="2" t="s">
        <v>66</v>
      </c>
      <c r="H88" s="2" t="s">
        <v>67</v>
      </c>
      <c r="I88" s="2"/>
    </row>
    <row r="89" spans="1:10">
      <c r="A89" s="2" t="s">
        <v>68</v>
      </c>
      <c r="B89" s="3">
        <f>B7</f>
        <v>0</v>
      </c>
      <c r="C89" s="3">
        <f t="shared" ref="C89:H89" si="40">C7</f>
        <v>0</v>
      </c>
      <c r="D89" s="3">
        <f t="shared" si="40"/>
        <v>0</v>
      </c>
      <c r="E89" s="3">
        <f t="shared" si="40"/>
        <v>0</v>
      </c>
      <c r="F89" s="3">
        <f t="shared" si="40"/>
        <v>0</v>
      </c>
      <c r="G89" s="3">
        <f t="shared" si="40"/>
        <v>0</v>
      </c>
      <c r="H89" s="3">
        <f t="shared" si="40"/>
        <v>0</v>
      </c>
      <c r="I89" s="2"/>
      <c r="J89" s="3"/>
    </row>
    <row r="90" spans="1:10">
      <c r="A90" s="2" t="s">
        <v>70</v>
      </c>
      <c r="B90" s="3">
        <f>I7</f>
        <v>0</v>
      </c>
      <c r="C90" s="3">
        <f t="shared" ref="C90:H90" si="41">J7</f>
        <v>0</v>
      </c>
      <c r="D90" s="3">
        <f t="shared" si="41"/>
        <v>0</v>
      </c>
      <c r="E90" s="3">
        <f t="shared" si="41"/>
        <v>0</v>
      </c>
      <c r="F90" s="3">
        <f t="shared" si="41"/>
        <v>0</v>
      </c>
      <c r="G90" s="3">
        <f t="shared" si="41"/>
        <v>0</v>
      </c>
      <c r="H90" s="3">
        <f t="shared" si="41"/>
        <v>0</v>
      </c>
      <c r="I90" s="2"/>
      <c r="J90" s="3"/>
    </row>
    <row r="91" spans="1:10">
      <c r="A91" s="4" t="s">
        <v>71</v>
      </c>
      <c r="B91" s="5">
        <f>P7</f>
        <v>0</v>
      </c>
      <c r="C91" s="5">
        <f t="shared" ref="C91:H91" si="42">Q7</f>
        <v>0</v>
      </c>
      <c r="D91" s="5">
        <f t="shared" si="42"/>
        <v>0</v>
      </c>
      <c r="E91" s="5">
        <f t="shared" si="42"/>
        <v>0</v>
      </c>
      <c r="F91" s="5">
        <f t="shared" si="42"/>
        <v>0</v>
      </c>
      <c r="G91" s="5">
        <f t="shared" si="42"/>
        <v>0</v>
      </c>
      <c r="H91" s="5">
        <f t="shared" si="42"/>
        <v>0</v>
      </c>
      <c r="I91" s="2"/>
      <c r="J91" s="3"/>
    </row>
    <row r="92" spans="1:10">
      <c r="A92" s="6" t="s">
        <v>72</v>
      </c>
      <c r="B92" s="7">
        <f>W7</f>
        <v>0</v>
      </c>
      <c r="C92" s="7">
        <f t="shared" ref="C92:H92" si="43">X7</f>
        <v>0</v>
      </c>
      <c r="D92" s="7">
        <f t="shared" si="43"/>
        <v>0</v>
      </c>
      <c r="E92" s="7">
        <f t="shared" si="43"/>
        <v>0</v>
      </c>
      <c r="F92" s="7">
        <f t="shared" si="43"/>
        <v>0</v>
      </c>
      <c r="G92" s="7">
        <f t="shared" si="43"/>
        <v>0</v>
      </c>
      <c r="H92" s="7">
        <f t="shared" si="43"/>
        <v>0</v>
      </c>
      <c r="I92" s="8" t="e">
        <f>100*(D92-D91)/D92</f>
        <v>#DIV/0!</v>
      </c>
      <c r="J92" s="8" t="e">
        <f>100*(F92-F91)/F92</f>
        <v>#DIV/0!</v>
      </c>
    </row>
    <row r="93" spans="1:10">
      <c r="A93" s="2" t="s">
        <v>73</v>
      </c>
      <c r="B93" s="3">
        <f>AD7</f>
        <v>0</v>
      </c>
      <c r="C93" s="3">
        <f t="shared" ref="C93:H93" si="44">AE7</f>
        <v>0</v>
      </c>
      <c r="D93" s="3">
        <f t="shared" si="44"/>
        <v>0</v>
      </c>
      <c r="E93" s="3">
        <f t="shared" si="44"/>
        <v>0</v>
      </c>
      <c r="F93" s="3">
        <f t="shared" si="44"/>
        <v>0</v>
      </c>
      <c r="G93" s="3">
        <f t="shared" si="44"/>
        <v>0</v>
      </c>
      <c r="H93" s="3">
        <f t="shared" si="44"/>
        <v>0</v>
      </c>
    </row>
    <row r="94" spans="1:10">
      <c r="A94" s="6" t="s">
        <v>75</v>
      </c>
      <c r="B94" s="7">
        <f>AK7</f>
        <v>0</v>
      </c>
      <c r="C94" s="7">
        <f t="shared" ref="C94:H94" si="45">AL7</f>
        <v>0</v>
      </c>
      <c r="D94" s="7">
        <f t="shared" si="45"/>
        <v>0</v>
      </c>
      <c r="E94" s="7">
        <f t="shared" si="45"/>
        <v>0</v>
      </c>
      <c r="F94" s="7">
        <f t="shared" si="45"/>
        <v>0</v>
      </c>
      <c r="G94" s="7">
        <f t="shared" si="45"/>
        <v>0</v>
      </c>
      <c r="H94" s="7">
        <f t="shared" si="45"/>
        <v>0</v>
      </c>
      <c r="I94" s="8" t="e">
        <f>100*(D94-D91)/D94</f>
        <v>#DIV/0!</v>
      </c>
      <c r="J94" s="8" t="e">
        <f>100*(F94-F91)/F94</f>
        <v>#DIV/0!</v>
      </c>
    </row>
    <row r="95" spans="1:10">
      <c r="A95" s="2" t="s">
        <v>76</v>
      </c>
      <c r="B95" s="3">
        <f>AR7</f>
        <v>0</v>
      </c>
      <c r="C95" s="3">
        <f t="shared" ref="C95:H95" si="46">AS7</f>
        <v>0</v>
      </c>
      <c r="D95" s="3">
        <f t="shared" si="46"/>
        <v>0</v>
      </c>
      <c r="E95" s="3">
        <f t="shared" si="46"/>
        <v>0</v>
      </c>
      <c r="F95" s="3">
        <f t="shared" si="46"/>
        <v>0</v>
      </c>
      <c r="G95" s="3">
        <f t="shared" si="46"/>
        <v>0</v>
      </c>
      <c r="H95" s="3">
        <f t="shared" si="46"/>
        <v>0</v>
      </c>
      <c r="I95" s="2"/>
      <c r="J95" s="3"/>
    </row>
    <row r="96" spans="1:10">
      <c r="A96" s="2" t="s">
        <v>77</v>
      </c>
      <c r="B96" s="3">
        <f>AY7</f>
        <v>0</v>
      </c>
      <c r="C96" s="3">
        <f t="shared" ref="C96:H96" si="47">AZ7</f>
        <v>0</v>
      </c>
      <c r="D96" s="3">
        <f t="shared" si="47"/>
        <v>0</v>
      </c>
      <c r="E96" s="3">
        <f t="shared" si="47"/>
        <v>0</v>
      </c>
      <c r="F96" s="3">
        <f t="shared" si="47"/>
        <v>0</v>
      </c>
      <c r="G96" s="3">
        <f t="shared" si="47"/>
        <v>0</v>
      </c>
      <c r="H96" s="3">
        <f t="shared" si="47"/>
        <v>0</v>
      </c>
      <c r="I96" s="2"/>
      <c r="J96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9909-AA53-3D40-81CE-E4952A7D0DD2}">
  <dimension ref="A1:AW96"/>
  <sheetViews>
    <sheetView topLeftCell="A3" zoomScale="110" zoomScaleNormal="110" workbookViewId="0">
      <selection activeCell="O11" sqref="O11"/>
    </sheetView>
  </sheetViews>
  <sheetFormatPr baseColWidth="10" defaultRowHeight="16"/>
  <cols>
    <col min="2" max="2" width="12.1640625" customWidth="1"/>
    <col min="8" max="8" width="14.6640625" customWidth="1"/>
    <col min="14" max="14" width="15" customWidth="1"/>
    <col min="15" max="15" width="26.1640625" customWidth="1"/>
    <col min="16" max="16" width="16.83203125" bestFit="1" customWidth="1"/>
    <col min="18" max="18" width="13" customWidth="1"/>
    <col min="19" max="19" width="13.1640625" customWidth="1"/>
    <col min="25" max="25" width="11.33203125" customWidth="1"/>
    <col min="26" max="26" width="18.5" customWidth="1"/>
    <col min="27" max="27" width="13.6640625" customWidth="1"/>
    <col min="31" max="31" width="13" customWidth="1"/>
    <col min="32" max="32" width="15.6640625" customWidth="1"/>
    <col min="38" max="38" width="19.1640625" customWidth="1"/>
    <col min="44" max="44" width="14" customWidth="1"/>
  </cols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</row>
    <row r="2" spans="1:49">
      <c r="A2" t="s">
        <v>57</v>
      </c>
      <c r="B2">
        <v>5.2241173654376798E-2</v>
      </c>
      <c r="C2">
        <v>0.53175906608682</v>
      </c>
      <c r="D2">
        <v>3.5977608301180103E-2</v>
      </c>
      <c r="E2">
        <v>0.221141130968805</v>
      </c>
      <c r="F2">
        <v>2.8248344213791998E-3</v>
      </c>
      <c r="G2">
        <v>4.6620226065976003E-3</v>
      </c>
      <c r="H2">
        <v>0.12509284063548301</v>
      </c>
      <c r="I2">
        <v>7.2029057084846804E-2</v>
      </c>
      <c r="J2">
        <v>9.6305982230773204E-2</v>
      </c>
      <c r="K2">
        <v>3.3086758286316201E-2</v>
      </c>
      <c r="L2">
        <v>3.1445681463552E-3</v>
      </c>
      <c r="M2">
        <v>3.4199611918299998E-3</v>
      </c>
      <c r="N2">
        <v>2.8233981760394801E-2</v>
      </c>
      <c r="O2">
        <v>1.7615648740946201E-2</v>
      </c>
      <c r="P2">
        <v>1.7586401335034599E-2</v>
      </c>
      <c r="Q2">
        <v>8.5005809407326001E-3</v>
      </c>
      <c r="R2">
        <v>2.85463370335149E-3</v>
      </c>
      <c r="S2">
        <v>2.8338095944223998E-3</v>
      </c>
      <c r="T2">
        <v>1.24423319340689E-2</v>
      </c>
      <c r="U2">
        <v>0.47076404710987602</v>
      </c>
      <c r="V2">
        <v>8.6291265118314999E-3</v>
      </c>
      <c r="W2">
        <v>0.199101828371895</v>
      </c>
      <c r="X2">
        <v>2.7729068213053001E-3</v>
      </c>
      <c r="Y2">
        <v>3.9724442832003003E-3</v>
      </c>
      <c r="Z2">
        <v>1.02068487917348E-2</v>
      </c>
      <c r="AA2">
        <v>0.344393266606903</v>
      </c>
      <c r="AB2">
        <v>7.1605080407222002E-3</v>
      </c>
      <c r="AC2">
        <v>0.148702200495409</v>
      </c>
      <c r="AD2" t="s">
        <v>79</v>
      </c>
      <c r="AE2">
        <v>3.7532522635530898E-3</v>
      </c>
      <c r="AF2">
        <v>1.00947634914251E-2</v>
      </c>
      <c r="AG2">
        <v>0.26311035829570001</v>
      </c>
      <c r="AH2">
        <v>6.9174118415893E-3</v>
      </c>
      <c r="AI2">
        <v>0.115535287249885</v>
      </c>
      <c r="AJ2">
        <v>2.7130312759240001E-3</v>
      </c>
      <c r="AK2">
        <v>3.5441772208267002E-3</v>
      </c>
      <c r="AL2">
        <v>1.01095271320648E-2</v>
      </c>
      <c r="AM2">
        <v>0.27621913150529898</v>
      </c>
      <c r="AN2">
        <v>6.9674143013902E-3</v>
      </c>
      <c r="AO2">
        <v>0.120956385622734</v>
      </c>
      <c r="AP2">
        <v>12.7714762678597</v>
      </c>
      <c r="AQ2">
        <v>3.86556005624014</v>
      </c>
      <c r="AR2">
        <v>1.00627864296923E-2</v>
      </c>
      <c r="AS2">
        <v>0.302881740272542</v>
      </c>
      <c r="AT2">
        <v>6.9779959502533004E-3</v>
      </c>
      <c r="AU2">
        <v>0.131865728048914</v>
      </c>
      <c r="AV2">
        <v>2.7657331534662001E-3</v>
      </c>
      <c r="AW2">
        <v>3.6473116822985001E-3</v>
      </c>
    </row>
    <row r="3" spans="1:49">
      <c r="A3" t="s">
        <v>80</v>
      </c>
      <c r="B3">
        <v>37.521943386728402</v>
      </c>
      <c r="C3">
        <v>8.0534705559933197</v>
      </c>
      <c r="D3">
        <v>1.71146759846931</v>
      </c>
      <c r="E3">
        <v>2.2629277177106002</v>
      </c>
      <c r="F3">
        <v>0.85897400574910698</v>
      </c>
      <c r="G3">
        <v>29.130539386784001</v>
      </c>
      <c r="H3">
        <v>15.544124180887099</v>
      </c>
      <c r="I3">
        <v>15.102490407026</v>
      </c>
      <c r="J3">
        <v>0.91535659445283901</v>
      </c>
      <c r="K3">
        <v>2.1290544263634299</v>
      </c>
      <c r="L3">
        <v>0.38443719060417803</v>
      </c>
      <c r="M3">
        <v>0.30894485373262398</v>
      </c>
      <c r="N3">
        <v>14.8226150978891</v>
      </c>
      <c r="O3">
        <v>20.205342148811098</v>
      </c>
      <c r="P3">
        <v>0.45363168792658298</v>
      </c>
      <c r="Q3">
        <v>0.22478896753217201</v>
      </c>
      <c r="R3">
        <v>0.24548206153183799</v>
      </c>
      <c r="S3">
        <v>0.48376276539225099</v>
      </c>
      <c r="T3">
        <v>5.1849598551109803</v>
      </c>
      <c r="U3">
        <v>86.281796319089096</v>
      </c>
      <c r="V3">
        <v>1.59300776745812</v>
      </c>
      <c r="W3">
        <v>0.357421928678825</v>
      </c>
      <c r="X3">
        <v>0.29806562029136202</v>
      </c>
      <c r="Y3">
        <v>0.70498868046805196</v>
      </c>
      <c r="Z3">
        <v>3.4046955865011301</v>
      </c>
      <c r="AA3">
        <v>155.849835179997</v>
      </c>
      <c r="AB3">
        <v>0.71928972250658296</v>
      </c>
      <c r="AC3">
        <v>0.39331796456414098</v>
      </c>
      <c r="AD3">
        <v>0.30214850970935597</v>
      </c>
      <c r="AE3">
        <v>1.01450417040189</v>
      </c>
      <c r="AF3">
        <v>1.11802178820238</v>
      </c>
      <c r="AG3">
        <v>84.286875363781803</v>
      </c>
      <c r="AH3">
        <v>0.15950721872655099</v>
      </c>
      <c r="AI3">
        <v>0.35685610163628401</v>
      </c>
      <c r="AJ3">
        <v>0.20319105052292699</v>
      </c>
      <c r="AK3">
        <v>0.59271008925043001</v>
      </c>
      <c r="AL3">
        <v>4.25053559306658</v>
      </c>
      <c r="AM3">
        <v>167.07974544992899</v>
      </c>
      <c r="AN3">
        <v>1.08747713764507</v>
      </c>
      <c r="AO3">
        <v>0.39549351569825703</v>
      </c>
      <c r="AP3">
        <v>511.64293259021599</v>
      </c>
      <c r="AQ3">
        <v>599.18019620031703</v>
      </c>
      <c r="AR3">
        <v>5.0689521773003401</v>
      </c>
      <c r="AS3" s="1">
        <v>8.3264350741347E+18</v>
      </c>
      <c r="AT3">
        <v>1.62059516642589</v>
      </c>
      <c r="AU3" t="s">
        <v>79</v>
      </c>
      <c r="AV3">
        <v>0.31671405533684499</v>
      </c>
      <c r="AW3" s="1">
        <v>9.4656867332661391E+18</v>
      </c>
    </row>
    <row r="4" spans="1:49">
      <c r="A4" t="s">
        <v>58</v>
      </c>
      <c r="B4">
        <v>0.90173714136474803</v>
      </c>
      <c r="C4">
        <v>0.53744664978416901</v>
      </c>
      <c r="D4">
        <v>0.41576438929831</v>
      </c>
      <c r="E4">
        <v>0.107070574948054</v>
      </c>
      <c r="F4">
        <v>4.1307268567130802E-2</v>
      </c>
      <c r="G4">
        <v>1.4975285001937601E-2</v>
      </c>
      <c r="H4">
        <v>0.62323666446175396</v>
      </c>
      <c r="I4">
        <v>3.5770383513872601</v>
      </c>
      <c r="J4">
        <v>0.29755075016991001</v>
      </c>
      <c r="K4">
        <v>1.73643079470105</v>
      </c>
      <c r="L4">
        <v>4.3559696960519097E-2</v>
      </c>
      <c r="M4">
        <v>5.6043665189293899E-2</v>
      </c>
      <c r="N4">
        <v>0.167158746251198</v>
      </c>
      <c r="O4">
        <v>0.12643963042085199</v>
      </c>
      <c r="P4">
        <v>7.8064107693477297E-2</v>
      </c>
      <c r="Q4">
        <v>3.4095177000599698E-2</v>
      </c>
      <c r="R4">
        <v>3.8351354635276197E-2</v>
      </c>
      <c r="S4">
        <v>7.0089242770245003E-3</v>
      </c>
      <c r="T4">
        <v>0.37924430612872301</v>
      </c>
      <c r="U4">
        <v>0.97566284385674795</v>
      </c>
      <c r="V4">
        <v>0.14660953540329799</v>
      </c>
      <c r="W4">
        <v>0.20144773993652401</v>
      </c>
      <c r="X4">
        <v>4.0481792786104101E-2</v>
      </c>
      <c r="Y4">
        <v>9.8514850007106001E-3</v>
      </c>
      <c r="Z4">
        <v>0.247769244570162</v>
      </c>
      <c r="AA4">
        <v>0.13667810662716001</v>
      </c>
      <c r="AB4">
        <v>0.104618991755875</v>
      </c>
      <c r="AC4">
        <v>3.4612000579835697E-2</v>
      </c>
      <c r="AD4" t="s">
        <v>79</v>
      </c>
      <c r="AE4">
        <v>7.1054664286231001E-3</v>
      </c>
      <c r="AF4">
        <v>0.23405457253463199</v>
      </c>
      <c r="AG4">
        <v>9.5954656260096305E-2</v>
      </c>
      <c r="AH4">
        <v>9.84382359041968E-2</v>
      </c>
      <c r="AI4">
        <v>2.5254138367372E-2</v>
      </c>
      <c r="AJ4" t="s">
        <v>79</v>
      </c>
      <c r="AK4">
        <v>6.8760940812356997E-3</v>
      </c>
      <c r="AL4">
        <v>0.20599100609007401</v>
      </c>
      <c r="AM4">
        <v>3.77750389415374E-2</v>
      </c>
      <c r="AN4">
        <v>9.0422506816532605E-2</v>
      </c>
      <c r="AO4">
        <v>1.03364752991015E-2</v>
      </c>
      <c r="AP4">
        <v>15.471372069288901</v>
      </c>
      <c r="AQ4">
        <v>0.42034061459844602</v>
      </c>
      <c r="AR4">
        <v>0.174175734056946</v>
      </c>
      <c r="AS4">
        <v>2.5798560182826198</v>
      </c>
      <c r="AT4">
        <v>7.4608495177452702E-2</v>
      </c>
      <c r="AU4">
        <v>1.0888456215853199</v>
      </c>
      <c r="AV4">
        <v>3.9190029590174598E-2</v>
      </c>
      <c r="AW4">
        <v>3.1862079622519301E-2</v>
      </c>
    </row>
    <row r="5" spans="1:49">
      <c r="T5" s="1"/>
    </row>
    <row r="6" spans="1:49">
      <c r="T6" s="1"/>
    </row>
    <row r="7" spans="1:49">
      <c r="T7" s="1"/>
    </row>
    <row r="11" spans="1:49">
      <c r="O11" s="11" t="s">
        <v>81</v>
      </c>
    </row>
    <row r="13" spans="1:49">
      <c r="B13" s="2" t="str">
        <f>A2</f>
        <v>transit_stations_percent_change_from_baseline</v>
      </c>
    </row>
    <row r="15" spans="1:49">
      <c r="B15" s="2" t="s">
        <v>59</v>
      </c>
      <c r="C15" s="2"/>
      <c r="D15" s="2" t="s">
        <v>60</v>
      </c>
      <c r="E15" s="2"/>
      <c r="F15" s="2" t="s">
        <v>61</v>
      </c>
      <c r="I15" s="2"/>
      <c r="J15" s="2"/>
      <c r="K15" s="2"/>
      <c r="L15" s="2"/>
      <c r="M15" s="2"/>
      <c r="N15" s="2"/>
    </row>
    <row r="16" spans="1:49">
      <c r="A16" s="2" t="s">
        <v>64</v>
      </c>
      <c r="B16" s="2" t="s">
        <v>65</v>
      </c>
      <c r="C16" s="2" t="s">
        <v>66</v>
      </c>
      <c r="D16" s="2" t="s">
        <v>65</v>
      </c>
      <c r="E16" s="2" t="s">
        <v>66</v>
      </c>
      <c r="F16" s="2" t="s">
        <v>65</v>
      </c>
      <c r="G16" s="2" t="s">
        <v>66</v>
      </c>
      <c r="H16" s="2"/>
      <c r="I16" s="2"/>
    </row>
    <row r="17" spans="1:18">
      <c r="A17" s="2" t="s">
        <v>68</v>
      </c>
      <c r="B17" s="3">
        <f>B2</f>
        <v>5.2241173654376798E-2</v>
      </c>
      <c r="C17" s="3">
        <f t="shared" ref="C17:G17" si="0">C2</f>
        <v>0.53175906608682</v>
      </c>
      <c r="D17" s="3">
        <f t="shared" si="0"/>
        <v>3.5977608301180103E-2</v>
      </c>
      <c r="E17" s="3">
        <f t="shared" si="0"/>
        <v>0.221141130968805</v>
      </c>
      <c r="F17" s="3">
        <f t="shared" si="0"/>
        <v>2.8248344213791998E-3</v>
      </c>
      <c r="G17" s="3">
        <f t="shared" si="0"/>
        <v>4.6620226065976003E-3</v>
      </c>
      <c r="H17" s="3"/>
      <c r="I17" s="2"/>
      <c r="J17" s="3"/>
      <c r="K17" s="3"/>
      <c r="L17" s="2"/>
      <c r="M17" s="3"/>
      <c r="N17" s="3"/>
      <c r="O17" s="3"/>
    </row>
    <row r="18" spans="1:18">
      <c r="A18" s="2" t="s">
        <v>70</v>
      </c>
      <c r="B18" s="3">
        <f>H2</f>
        <v>0.12509284063548301</v>
      </c>
      <c r="C18" s="3">
        <f t="shared" ref="C18:G18" si="1">I2</f>
        <v>7.2029057084846804E-2</v>
      </c>
      <c r="D18" s="3">
        <f t="shared" si="1"/>
        <v>9.6305982230773204E-2</v>
      </c>
      <c r="E18" s="3">
        <f t="shared" si="1"/>
        <v>3.3086758286316201E-2</v>
      </c>
      <c r="F18" s="3">
        <f t="shared" si="1"/>
        <v>3.1445681463552E-3</v>
      </c>
      <c r="G18" s="3">
        <f t="shared" si="1"/>
        <v>3.4199611918299998E-3</v>
      </c>
      <c r="H18" s="3"/>
      <c r="I18" s="2"/>
      <c r="J18" s="3"/>
      <c r="K18" s="3"/>
      <c r="L18" s="3"/>
      <c r="M18" s="3"/>
      <c r="N18" s="3"/>
      <c r="O18" s="3"/>
    </row>
    <row r="19" spans="1:18">
      <c r="A19" s="4" t="s">
        <v>71</v>
      </c>
      <c r="B19" s="5">
        <f>N2</f>
        <v>2.8233981760394801E-2</v>
      </c>
      <c r="C19" s="5">
        <f>O2</f>
        <v>1.7615648740946201E-2</v>
      </c>
      <c r="D19" s="5">
        <f t="shared" ref="C19:G19" si="2">P2</f>
        <v>1.7586401335034599E-2</v>
      </c>
      <c r="E19" s="5">
        <f t="shared" si="2"/>
        <v>8.5005809407326001E-3</v>
      </c>
      <c r="F19" s="5">
        <f t="shared" si="2"/>
        <v>2.85463370335149E-3</v>
      </c>
      <c r="G19" s="5">
        <f t="shared" si="2"/>
        <v>2.8338095944223998E-3</v>
      </c>
      <c r="H19" s="5"/>
      <c r="I19" s="2"/>
      <c r="J19" s="3"/>
      <c r="K19" s="3"/>
      <c r="L19" s="3"/>
      <c r="M19" s="3"/>
      <c r="N19" s="3"/>
      <c r="O19" s="3"/>
    </row>
    <row r="20" spans="1:18">
      <c r="A20" s="6" t="s">
        <v>72</v>
      </c>
      <c r="B20" s="7">
        <f>T2</f>
        <v>1.24423319340689E-2</v>
      </c>
      <c r="C20" s="7">
        <f t="shared" ref="C20:F20" si="3">U2</f>
        <v>0.47076404710987602</v>
      </c>
      <c r="D20" s="7">
        <f t="shared" si="3"/>
        <v>8.6291265118314999E-3</v>
      </c>
      <c r="E20" s="7">
        <f t="shared" si="3"/>
        <v>0.199101828371895</v>
      </c>
      <c r="F20" s="7">
        <f t="shared" si="3"/>
        <v>2.7729068213053001E-3</v>
      </c>
      <c r="G20" s="7">
        <f>Y2</f>
        <v>3.9724442832003003E-3</v>
      </c>
      <c r="H20" s="7"/>
      <c r="I20" s="8"/>
      <c r="J20" s="8"/>
      <c r="K20" s="3"/>
      <c r="L20" s="3"/>
      <c r="M20" s="3"/>
      <c r="N20" s="3"/>
      <c r="O20" s="3"/>
    </row>
    <row r="21" spans="1:18">
      <c r="A21" s="2" t="s">
        <v>73</v>
      </c>
      <c r="B21" s="3">
        <f>Z2</f>
        <v>1.02068487917348E-2</v>
      </c>
      <c r="C21" s="3">
        <f t="shared" ref="C21:G21" si="4">AA2</f>
        <v>0.344393266606903</v>
      </c>
      <c r="D21" s="3">
        <f t="shared" si="4"/>
        <v>7.1605080407222002E-3</v>
      </c>
      <c r="E21" s="3">
        <f t="shared" si="4"/>
        <v>0.148702200495409</v>
      </c>
      <c r="F21" s="3" t="str">
        <f>AD2</f>
        <v>inf</v>
      </c>
      <c r="G21" s="3">
        <f t="shared" si="4"/>
        <v>3.7532522635530898E-3</v>
      </c>
      <c r="H21" s="3"/>
      <c r="K21" s="3"/>
      <c r="L21" s="3"/>
      <c r="M21" s="3"/>
      <c r="N21" s="3" t="s">
        <v>64</v>
      </c>
      <c r="O21" t="s">
        <v>59</v>
      </c>
      <c r="P21" s="3" t="s">
        <v>60</v>
      </c>
      <c r="Q21" t="s">
        <v>61</v>
      </c>
      <c r="R21" s="3"/>
    </row>
    <row r="22" spans="1:18">
      <c r="A22" s="6" t="s">
        <v>75</v>
      </c>
      <c r="B22" s="7">
        <f>AF2</f>
        <v>1.00947634914251E-2</v>
      </c>
      <c r="C22" s="7">
        <f t="shared" ref="C22:G22" si="5">AG2</f>
        <v>0.26311035829570001</v>
      </c>
      <c r="D22" s="7">
        <f t="shared" si="5"/>
        <v>6.9174118415893E-3</v>
      </c>
      <c r="E22" s="7">
        <f t="shared" si="5"/>
        <v>0.115535287249885</v>
      </c>
      <c r="F22" s="7">
        <f t="shared" si="5"/>
        <v>2.7130312759240001E-3</v>
      </c>
      <c r="G22" s="7">
        <f t="shared" si="5"/>
        <v>3.5441772208267002E-3</v>
      </c>
      <c r="H22" s="7"/>
      <c r="I22" s="8"/>
      <c r="J22" s="8"/>
      <c r="K22" s="3"/>
      <c r="L22" s="3"/>
      <c r="M22" s="3"/>
      <c r="N22" s="3" t="s">
        <v>71</v>
      </c>
      <c r="O22" s="3">
        <f>C19</f>
        <v>1.7615648740946201E-2</v>
      </c>
      <c r="P22" s="3">
        <f>E19</f>
        <v>8.5005809407326001E-3</v>
      </c>
      <c r="Q22" s="10">
        <f>G19</f>
        <v>2.8338095944223998E-3</v>
      </c>
    </row>
    <row r="23" spans="1:18">
      <c r="A23" s="2" t="s">
        <v>76</v>
      </c>
      <c r="B23" s="3">
        <f>AL2</f>
        <v>1.01095271320648E-2</v>
      </c>
      <c r="C23" s="3">
        <f t="shared" ref="C23:G23" si="6">AM2</f>
        <v>0.27621913150529898</v>
      </c>
      <c r="D23" s="3">
        <f t="shared" si="6"/>
        <v>6.9674143013902E-3</v>
      </c>
      <c r="E23" s="3">
        <f t="shared" si="6"/>
        <v>0.120956385622734</v>
      </c>
      <c r="F23" s="3">
        <f t="shared" si="6"/>
        <v>12.7714762678597</v>
      </c>
      <c r="G23" s="3">
        <f t="shared" si="6"/>
        <v>3.86556005624014</v>
      </c>
      <c r="H23" s="3"/>
      <c r="I23" s="2"/>
      <c r="J23" s="3"/>
      <c r="K23" s="3"/>
      <c r="L23" s="3"/>
      <c r="N23" s="3" t="s">
        <v>78</v>
      </c>
      <c r="O23" s="3">
        <f>C20</f>
        <v>0.47076404710987602</v>
      </c>
      <c r="P23" s="3">
        <f>E20</f>
        <v>0.199101828371895</v>
      </c>
      <c r="Q23" s="10">
        <f>G20</f>
        <v>3.9724442832003003E-3</v>
      </c>
    </row>
    <row r="24" spans="1:18">
      <c r="A24" s="2" t="s">
        <v>77</v>
      </c>
      <c r="B24" s="3">
        <f>AR2</f>
        <v>1.00627864296923E-2</v>
      </c>
      <c r="C24" s="3">
        <f t="shared" ref="C24:G24" si="7">AS2</f>
        <v>0.302881740272542</v>
      </c>
      <c r="D24" s="3">
        <f t="shared" si="7"/>
        <v>6.9779959502533004E-3</v>
      </c>
      <c r="E24" s="3">
        <f t="shared" si="7"/>
        <v>0.131865728048914</v>
      </c>
      <c r="F24" s="3">
        <f t="shared" si="7"/>
        <v>2.7657331534662001E-3</v>
      </c>
      <c r="G24" s="3">
        <f t="shared" si="7"/>
        <v>3.6473116822985001E-3</v>
      </c>
      <c r="H24" s="3"/>
      <c r="I24" s="2"/>
      <c r="J24" s="3"/>
      <c r="K24" s="3"/>
      <c r="L24" s="3"/>
      <c r="M24" s="3"/>
      <c r="N24" t="s">
        <v>75</v>
      </c>
      <c r="O24" s="3">
        <f>C22</f>
        <v>0.26311035829570001</v>
      </c>
      <c r="P24" s="3">
        <f>E22</f>
        <v>0.115535287249885</v>
      </c>
      <c r="Q24" s="10">
        <f>G22</f>
        <v>3.5441772208267002E-3</v>
      </c>
    </row>
    <row r="25" spans="1:18">
      <c r="N25" s="3" t="s">
        <v>73</v>
      </c>
      <c r="O25" s="3">
        <f>C21</f>
        <v>0.344393266606903</v>
      </c>
      <c r="P25" s="3">
        <f>E21</f>
        <v>0.148702200495409</v>
      </c>
      <c r="Q25" s="10">
        <f>G21</f>
        <v>3.7532522635530898E-3</v>
      </c>
    </row>
    <row r="28" spans="1:18">
      <c r="B28" s="2" t="str">
        <f>A3</f>
        <v>residential_percent_change_from_baseline</v>
      </c>
    </row>
    <row r="30" spans="1:18">
      <c r="B30" s="2" t="s">
        <v>59</v>
      </c>
      <c r="C30" s="2"/>
      <c r="D30" s="2" t="s">
        <v>60</v>
      </c>
      <c r="E30" s="2"/>
      <c r="F30" s="2" t="s">
        <v>61</v>
      </c>
      <c r="I30" s="2"/>
      <c r="J30" s="2"/>
    </row>
    <row r="31" spans="1:18">
      <c r="A31" s="2" t="s">
        <v>64</v>
      </c>
      <c r="B31" s="2" t="s">
        <v>65</v>
      </c>
      <c r="C31" s="2" t="s">
        <v>66</v>
      </c>
      <c r="D31" s="2" t="s">
        <v>65</v>
      </c>
      <c r="E31" s="2" t="s">
        <v>66</v>
      </c>
      <c r="F31" s="2" t="s">
        <v>65</v>
      </c>
      <c r="G31" s="2" t="s">
        <v>66</v>
      </c>
      <c r="H31" s="2"/>
      <c r="I31" s="2"/>
      <c r="N31" s="3"/>
      <c r="P31" s="3"/>
    </row>
    <row r="32" spans="1:18">
      <c r="A32" s="2" t="s">
        <v>68</v>
      </c>
      <c r="B32" s="3">
        <f>B3</f>
        <v>37.521943386728402</v>
      </c>
      <c r="C32" s="3">
        <f t="shared" ref="C32:G32" si="8">C3</f>
        <v>8.0534705559933197</v>
      </c>
      <c r="D32" s="3">
        <f t="shared" si="8"/>
        <v>1.71146759846931</v>
      </c>
      <c r="E32" s="3">
        <f t="shared" si="8"/>
        <v>2.2629277177106002</v>
      </c>
      <c r="F32" s="3">
        <f t="shared" si="8"/>
        <v>0.85897400574910698</v>
      </c>
      <c r="G32" s="3">
        <f t="shared" si="8"/>
        <v>29.130539386784001</v>
      </c>
      <c r="H32" s="3"/>
      <c r="I32" s="2"/>
      <c r="J32" s="3"/>
      <c r="N32" s="3"/>
      <c r="O32" s="3"/>
      <c r="P32" s="9"/>
      <c r="Q32" s="10"/>
    </row>
    <row r="33" spans="1:17">
      <c r="A33" s="2" t="s">
        <v>70</v>
      </c>
      <c r="B33" s="3">
        <f>H3</f>
        <v>15.544124180887099</v>
      </c>
      <c r="C33" s="3">
        <f t="shared" ref="C33:G33" si="9">I3</f>
        <v>15.102490407026</v>
      </c>
      <c r="D33" s="3">
        <f t="shared" si="9"/>
        <v>0.91535659445283901</v>
      </c>
      <c r="E33" s="3">
        <f t="shared" si="9"/>
        <v>2.1290544263634299</v>
      </c>
      <c r="F33" s="3">
        <f t="shared" si="9"/>
        <v>0.38443719060417803</v>
      </c>
      <c r="G33" s="3">
        <f t="shared" si="9"/>
        <v>0.30894485373262398</v>
      </c>
      <c r="H33" s="3"/>
      <c r="I33" s="2"/>
      <c r="J33" s="3"/>
      <c r="N33" s="3"/>
      <c r="O33" s="3"/>
      <c r="P33" s="9"/>
      <c r="Q33" s="10"/>
    </row>
    <row r="34" spans="1:17">
      <c r="A34" s="4" t="s">
        <v>71</v>
      </c>
      <c r="B34" s="5">
        <f>N3</f>
        <v>14.8226150978891</v>
      </c>
      <c r="C34" s="5">
        <f>O3</f>
        <v>20.205342148811098</v>
      </c>
      <c r="D34" s="5">
        <f t="shared" ref="D34:F34" si="10">P3</f>
        <v>0.45363168792658298</v>
      </c>
      <c r="E34" s="5">
        <f t="shared" si="10"/>
        <v>0.22478896753217201</v>
      </c>
      <c r="F34" s="5">
        <f t="shared" si="10"/>
        <v>0.24548206153183799</v>
      </c>
      <c r="G34" s="5">
        <f>S3</f>
        <v>0.48376276539225099</v>
      </c>
      <c r="H34" s="5"/>
      <c r="I34" s="2"/>
      <c r="J34" s="3"/>
      <c r="N34" s="3"/>
      <c r="P34" s="3"/>
    </row>
    <row r="35" spans="1:17">
      <c r="A35" s="6" t="s">
        <v>72</v>
      </c>
      <c r="B35" s="7">
        <f>T3</f>
        <v>5.1849598551109803</v>
      </c>
      <c r="C35" s="7">
        <f t="shared" ref="C35:G35" si="11">U3</f>
        <v>86.281796319089096</v>
      </c>
      <c r="D35" s="7">
        <f t="shared" si="11"/>
        <v>1.59300776745812</v>
      </c>
      <c r="E35" s="7">
        <f t="shared" si="11"/>
        <v>0.357421928678825</v>
      </c>
      <c r="F35" s="7">
        <f t="shared" si="11"/>
        <v>0.29806562029136202</v>
      </c>
      <c r="G35" s="7">
        <f t="shared" si="11"/>
        <v>0.70498868046805196</v>
      </c>
      <c r="H35" s="7"/>
      <c r="I35" s="8"/>
      <c r="J35" s="8"/>
      <c r="N35" s="3"/>
      <c r="O35" s="3"/>
      <c r="P35" s="9"/>
      <c r="Q35" s="10"/>
    </row>
    <row r="36" spans="1:17">
      <c r="A36" s="2" t="s">
        <v>73</v>
      </c>
      <c r="B36" s="3">
        <f>Z3</f>
        <v>3.4046955865011301</v>
      </c>
      <c r="C36" s="3">
        <f t="shared" ref="C36:G36" si="12">AA3</f>
        <v>155.849835179997</v>
      </c>
      <c r="D36" s="3">
        <f t="shared" si="12"/>
        <v>0.71928972250658296</v>
      </c>
      <c r="E36" s="3">
        <f t="shared" si="12"/>
        <v>0.39331796456414098</v>
      </c>
      <c r="F36" s="3">
        <f t="shared" si="12"/>
        <v>0.30214850970935597</v>
      </c>
      <c r="G36" s="3">
        <f t="shared" si="12"/>
        <v>1.01450417040189</v>
      </c>
      <c r="H36" s="3"/>
      <c r="N36" s="3" t="s">
        <v>64</v>
      </c>
      <c r="O36" t="s">
        <v>59</v>
      </c>
      <c r="P36" s="3" t="s">
        <v>60</v>
      </c>
      <c r="Q36" t="s">
        <v>61</v>
      </c>
    </row>
    <row r="37" spans="1:17">
      <c r="A37" s="6" t="s">
        <v>75</v>
      </c>
      <c r="B37" s="7">
        <f>AF3</f>
        <v>1.11802178820238</v>
      </c>
      <c r="C37" s="7">
        <f t="shared" ref="C37:G37" si="13">AG3</f>
        <v>84.286875363781803</v>
      </c>
      <c r="D37" s="7">
        <f t="shared" si="13"/>
        <v>0.15950721872655099</v>
      </c>
      <c r="E37" s="7">
        <f t="shared" si="13"/>
        <v>0.35685610163628401</v>
      </c>
      <c r="F37" s="7">
        <f t="shared" si="13"/>
        <v>0.20319105052292699</v>
      </c>
      <c r="G37" s="7">
        <f t="shared" si="13"/>
        <v>0.59271008925043001</v>
      </c>
      <c r="H37" s="7"/>
      <c r="I37" s="8"/>
      <c r="J37" s="8"/>
      <c r="N37" s="3" t="s">
        <v>71</v>
      </c>
      <c r="O37" s="3">
        <f>C34</f>
        <v>20.205342148811098</v>
      </c>
      <c r="P37" s="3">
        <f>E34</f>
        <v>0.22478896753217201</v>
      </c>
      <c r="Q37" s="10">
        <f>G34</f>
        <v>0.48376276539225099</v>
      </c>
    </row>
    <row r="38" spans="1:17">
      <c r="A38" s="2" t="s">
        <v>76</v>
      </c>
      <c r="B38" s="3">
        <f>AL3</f>
        <v>4.25053559306658</v>
      </c>
      <c r="C38" s="3">
        <f t="shared" ref="C38:G38" si="14">AM3</f>
        <v>167.07974544992899</v>
      </c>
      <c r="D38" s="3">
        <f t="shared" si="14"/>
        <v>1.08747713764507</v>
      </c>
      <c r="E38" s="3">
        <f t="shared" si="14"/>
        <v>0.39549351569825703</v>
      </c>
      <c r="F38" s="3">
        <f t="shared" si="14"/>
        <v>511.64293259021599</v>
      </c>
      <c r="G38" s="3">
        <f t="shared" si="14"/>
        <v>599.18019620031703</v>
      </c>
      <c r="H38" s="3"/>
      <c r="I38" s="2"/>
      <c r="J38" s="3"/>
      <c r="N38" s="3" t="s">
        <v>78</v>
      </c>
      <c r="O38" s="3">
        <f>C35</f>
        <v>86.281796319089096</v>
      </c>
      <c r="P38" s="3">
        <f>E35</f>
        <v>0.357421928678825</v>
      </c>
      <c r="Q38" s="10">
        <f>G35</f>
        <v>0.70498868046805196</v>
      </c>
    </row>
    <row r="39" spans="1:17">
      <c r="A39" s="2" t="s">
        <v>77</v>
      </c>
      <c r="B39" s="3">
        <f>AR3</f>
        <v>5.0689521773003401</v>
      </c>
      <c r="C39" s="3">
        <f t="shared" ref="C39:G39" si="15">AS3</f>
        <v>8.3264350741347E+18</v>
      </c>
      <c r="D39" s="3">
        <f t="shared" si="15"/>
        <v>1.62059516642589</v>
      </c>
      <c r="E39" s="3" t="str">
        <f t="shared" si="15"/>
        <v>inf</v>
      </c>
      <c r="F39" s="3">
        <f t="shared" si="15"/>
        <v>0.31671405533684499</v>
      </c>
      <c r="G39" s="3">
        <f t="shared" si="15"/>
        <v>9.4656867332661391E+18</v>
      </c>
      <c r="H39" s="3"/>
      <c r="I39" s="2"/>
      <c r="J39" s="3"/>
      <c r="N39" t="s">
        <v>75</v>
      </c>
      <c r="O39" s="3">
        <f>C37</f>
        <v>84.286875363781803</v>
      </c>
      <c r="P39" s="3">
        <f>E37</f>
        <v>0.35685610163628401</v>
      </c>
      <c r="Q39" s="10">
        <f>G37</f>
        <v>0.59271008925043001</v>
      </c>
    </row>
    <row r="40" spans="1:17">
      <c r="N40" s="3" t="s">
        <v>73</v>
      </c>
      <c r="O40" s="3">
        <f>C36</f>
        <v>155.849835179997</v>
      </c>
      <c r="P40" s="3">
        <f>E36</f>
        <v>0.39331796456414098</v>
      </c>
      <c r="Q40" s="10">
        <f>G36</f>
        <v>1.01450417040189</v>
      </c>
    </row>
    <row r="43" spans="1:17">
      <c r="B43" s="2" t="str">
        <f>A18</f>
        <v>DQQ</v>
      </c>
    </row>
    <row r="45" spans="1:17">
      <c r="B45" s="2" t="s">
        <v>59</v>
      </c>
      <c r="C45" s="2"/>
      <c r="D45" s="2" t="s">
        <v>60</v>
      </c>
      <c r="E45" s="2"/>
      <c r="F45" s="2" t="s">
        <v>61</v>
      </c>
      <c r="I45" s="2"/>
      <c r="J45" s="2"/>
    </row>
    <row r="46" spans="1:17">
      <c r="A46" s="2" t="s">
        <v>64</v>
      </c>
      <c r="B46" s="2" t="s">
        <v>65</v>
      </c>
      <c r="C46" s="2" t="s">
        <v>66</v>
      </c>
      <c r="D46" s="2" t="s">
        <v>65</v>
      </c>
      <c r="E46" s="2" t="s">
        <v>66</v>
      </c>
      <c r="F46" s="2" t="s">
        <v>65</v>
      </c>
      <c r="G46" s="2" t="s">
        <v>66</v>
      </c>
      <c r="H46" s="2"/>
      <c r="I46" s="2"/>
    </row>
    <row r="47" spans="1:17">
      <c r="A47" s="2" t="s">
        <v>68</v>
      </c>
      <c r="B47" s="3">
        <f>B4</f>
        <v>0.90173714136474803</v>
      </c>
      <c r="C47" s="3">
        <f t="shared" ref="C47:G47" si="16">C4</f>
        <v>0.53744664978416901</v>
      </c>
      <c r="D47" s="3">
        <f t="shared" si="16"/>
        <v>0.41576438929831</v>
      </c>
      <c r="E47" s="3">
        <f t="shared" si="16"/>
        <v>0.107070574948054</v>
      </c>
      <c r="F47" s="3">
        <f t="shared" si="16"/>
        <v>4.1307268567130802E-2</v>
      </c>
      <c r="G47" s="3">
        <f t="shared" si="16"/>
        <v>1.4975285001937601E-2</v>
      </c>
      <c r="H47" s="3"/>
      <c r="I47" s="2"/>
      <c r="J47" s="3"/>
    </row>
    <row r="48" spans="1:17">
      <c r="A48" s="2" t="s">
        <v>70</v>
      </c>
      <c r="B48" s="3">
        <f>H4</f>
        <v>0.62323666446175396</v>
      </c>
      <c r="C48" s="3">
        <f t="shared" ref="C48:G48" si="17">I4</f>
        <v>3.5770383513872601</v>
      </c>
      <c r="D48" s="3">
        <f t="shared" si="17"/>
        <v>0.29755075016991001</v>
      </c>
      <c r="E48" s="3">
        <f t="shared" si="17"/>
        <v>1.73643079470105</v>
      </c>
      <c r="F48" s="3">
        <f t="shared" si="17"/>
        <v>4.3559696960519097E-2</v>
      </c>
      <c r="G48" s="3">
        <f t="shared" si="17"/>
        <v>5.6043665189293899E-2</v>
      </c>
      <c r="H48" s="3"/>
      <c r="I48" s="2"/>
      <c r="J48" s="3"/>
    </row>
    <row r="49" spans="1:17">
      <c r="A49" s="4" t="s">
        <v>71</v>
      </c>
      <c r="B49" s="5">
        <f>N4</f>
        <v>0.167158746251198</v>
      </c>
      <c r="C49" s="5">
        <f t="shared" ref="C49:G49" si="18">O4</f>
        <v>0.12643963042085199</v>
      </c>
      <c r="D49" s="5">
        <f t="shared" si="18"/>
        <v>7.8064107693477297E-2</v>
      </c>
      <c r="E49" s="5">
        <f t="shared" si="18"/>
        <v>3.4095177000599698E-2</v>
      </c>
      <c r="F49" s="5">
        <f t="shared" si="18"/>
        <v>3.8351354635276197E-2</v>
      </c>
      <c r="G49" s="5">
        <f t="shared" si="18"/>
        <v>7.0089242770245003E-3</v>
      </c>
      <c r="H49" s="5"/>
      <c r="I49" s="2"/>
      <c r="J49" s="3"/>
    </row>
    <row r="50" spans="1:17">
      <c r="A50" s="6" t="s">
        <v>72</v>
      </c>
      <c r="B50" s="7">
        <f>T4</f>
        <v>0.37924430612872301</v>
      </c>
      <c r="C50" s="7">
        <f t="shared" ref="C50:G50" si="19">U4</f>
        <v>0.97566284385674795</v>
      </c>
      <c r="D50" s="7">
        <f t="shared" si="19"/>
        <v>0.14660953540329799</v>
      </c>
      <c r="E50" s="7">
        <f t="shared" si="19"/>
        <v>0.20144773993652401</v>
      </c>
      <c r="F50" s="7">
        <f t="shared" si="19"/>
        <v>4.0481792786104101E-2</v>
      </c>
      <c r="G50" s="7">
        <f t="shared" si="19"/>
        <v>9.8514850007106001E-3</v>
      </c>
      <c r="H50" s="7"/>
      <c r="I50" s="8"/>
      <c r="J50" s="8"/>
    </row>
    <row r="51" spans="1:17">
      <c r="A51" s="2" t="s">
        <v>73</v>
      </c>
      <c r="B51" s="3">
        <f>Z4</f>
        <v>0.247769244570162</v>
      </c>
      <c r="C51" s="3">
        <f t="shared" ref="C51:G51" si="20">AA4</f>
        <v>0.13667810662716001</v>
      </c>
      <c r="D51" s="3">
        <f t="shared" si="20"/>
        <v>0.104618991755875</v>
      </c>
      <c r="E51" s="3">
        <f t="shared" si="20"/>
        <v>3.4612000579835697E-2</v>
      </c>
      <c r="F51" s="3" t="str">
        <f t="shared" si="20"/>
        <v>inf</v>
      </c>
      <c r="G51" s="3">
        <f t="shared" si="20"/>
        <v>7.1054664286231001E-3</v>
      </c>
      <c r="H51" s="3"/>
      <c r="N51" s="3" t="s">
        <v>64</v>
      </c>
      <c r="O51" t="s">
        <v>59</v>
      </c>
      <c r="P51" s="3" t="s">
        <v>60</v>
      </c>
      <c r="Q51" t="s">
        <v>61</v>
      </c>
    </row>
    <row r="52" spans="1:17">
      <c r="A52" s="6" t="s">
        <v>75</v>
      </c>
      <c r="B52" s="7">
        <f>AF4</f>
        <v>0.23405457253463199</v>
      </c>
      <c r="C52" s="7">
        <f t="shared" ref="C52:G52" si="21">AG4</f>
        <v>9.5954656260096305E-2</v>
      </c>
      <c r="D52" s="7">
        <f t="shared" si="21"/>
        <v>9.84382359041968E-2</v>
      </c>
      <c r="E52" s="7">
        <f t="shared" si="21"/>
        <v>2.5254138367372E-2</v>
      </c>
      <c r="F52" s="7" t="str">
        <f t="shared" si="21"/>
        <v>inf</v>
      </c>
      <c r="G52" s="7">
        <f t="shared" si="21"/>
        <v>6.8760940812356997E-3</v>
      </c>
      <c r="H52" s="7"/>
      <c r="I52" s="8"/>
      <c r="J52" s="8"/>
      <c r="N52" s="3" t="s">
        <v>71</v>
      </c>
      <c r="O52" s="3">
        <f>C49</f>
        <v>0.12643963042085199</v>
      </c>
      <c r="P52" s="3">
        <f>E49</f>
        <v>3.4095177000599698E-2</v>
      </c>
      <c r="Q52" s="10">
        <f>G49</f>
        <v>7.0089242770245003E-3</v>
      </c>
    </row>
    <row r="53" spans="1:17">
      <c r="A53" s="2" t="s">
        <v>76</v>
      </c>
      <c r="B53" s="3">
        <f>AL4</f>
        <v>0.20599100609007401</v>
      </c>
      <c r="C53" s="3">
        <f t="shared" ref="C53:G53" si="22">AM4</f>
        <v>3.77750389415374E-2</v>
      </c>
      <c r="D53" s="3">
        <f t="shared" si="22"/>
        <v>9.0422506816532605E-2</v>
      </c>
      <c r="E53" s="3">
        <f t="shared" si="22"/>
        <v>1.03364752991015E-2</v>
      </c>
      <c r="F53" s="3">
        <f t="shared" si="22"/>
        <v>15.471372069288901</v>
      </c>
      <c r="G53" s="3">
        <f t="shared" si="22"/>
        <v>0.42034061459844602</v>
      </c>
      <c r="H53" s="3"/>
      <c r="I53" s="2"/>
      <c r="J53" s="3"/>
      <c r="N53" s="3" t="s">
        <v>78</v>
      </c>
      <c r="O53" s="3">
        <f>C50</f>
        <v>0.97566284385674795</v>
      </c>
      <c r="P53" s="3">
        <f>E50</f>
        <v>0.20144773993652401</v>
      </c>
      <c r="Q53" s="10">
        <f>G50</f>
        <v>9.8514850007106001E-3</v>
      </c>
    </row>
    <row r="54" spans="1:17">
      <c r="A54" s="2" t="s">
        <v>77</v>
      </c>
      <c r="B54" s="3">
        <f>AR4</f>
        <v>0.174175734056946</v>
      </c>
      <c r="C54" s="3">
        <f t="shared" ref="C54:G54" si="23">AS4</f>
        <v>2.5798560182826198</v>
      </c>
      <c r="D54" s="3">
        <f t="shared" si="23"/>
        <v>7.4608495177452702E-2</v>
      </c>
      <c r="E54" s="3">
        <f t="shared" si="23"/>
        <v>1.0888456215853199</v>
      </c>
      <c r="F54" s="3">
        <f t="shared" si="23"/>
        <v>3.9190029590174598E-2</v>
      </c>
      <c r="G54" s="3">
        <f t="shared" si="23"/>
        <v>3.1862079622519301E-2</v>
      </c>
      <c r="H54" s="3"/>
      <c r="I54" s="2"/>
      <c r="J54" s="3"/>
      <c r="N54" t="s">
        <v>75</v>
      </c>
      <c r="O54" s="3">
        <f>C52</f>
        <v>9.5954656260096305E-2</v>
      </c>
      <c r="P54" s="3">
        <f>E52</f>
        <v>2.5254138367372E-2</v>
      </c>
      <c r="Q54" s="10">
        <f>G52</f>
        <v>6.8760940812356997E-3</v>
      </c>
    </row>
    <row r="55" spans="1:17">
      <c r="N55" s="3" t="s">
        <v>73</v>
      </c>
      <c r="O55" s="3">
        <f>C51</f>
        <v>0.13667810662716001</v>
      </c>
      <c r="P55" s="3">
        <f>E51</f>
        <v>3.4612000579835697E-2</v>
      </c>
      <c r="Q55" s="10">
        <f>G51</f>
        <v>7.1054664286231001E-3</v>
      </c>
    </row>
    <row r="57" spans="1:17">
      <c r="B57" s="2">
        <f>A5</f>
        <v>0</v>
      </c>
    </row>
    <row r="59" spans="1:17">
      <c r="B59" s="2" t="s">
        <v>59</v>
      </c>
      <c r="C59" s="2"/>
      <c r="D59" s="2" t="s">
        <v>60</v>
      </c>
      <c r="E59" s="2"/>
      <c r="F59" s="2" t="s">
        <v>61</v>
      </c>
      <c r="I59" s="2"/>
      <c r="J59" s="2"/>
    </row>
    <row r="60" spans="1:17">
      <c r="A60" s="2" t="s">
        <v>64</v>
      </c>
      <c r="B60" s="2" t="s">
        <v>65</v>
      </c>
      <c r="C60" s="2" t="s">
        <v>66</v>
      </c>
      <c r="D60" s="2" t="s">
        <v>65</v>
      </c>
      <c r="E60" s="2" t="s">
        <v>66</v>
      </c>
      <c r="F60" s="2" t="s">
        <v>65</v>
      </c>
      <c r="G60" s="2" t="s">
        <v>66</v>
      </c>
      <c r="H60" s="2"/>
      <c r="I60" s="2"/>
    </row>
    <row r="61" spans="1:17">
      <c r="A61" s="2" t="s">
        <v>68</v>
      </c>
      <c r="B61" s="3">
        <f>B5</f>
        <v>0</v>
      </c>
      <c r="C61" s="3">
        <f t="shared" ref="C61:G61" si="24">C5</f>
        <v>0</v>
      </c>
      <c r="D61" s="3">
        <f t="shared" si="24"/>
        <v>0</v>
      </c>
      <c r="E61" s="3">
        <f t="shared" si="24"/>
        <v>0</v>
      </c>
      <c r="F61" s="3">
        <f t="shared" si="24"/>
        <v>0</v>
      </c>
      <c r="G61" s="3">
        <f t="shared" si="24"/>
        <v>0</v>
      </c>
      <c r="H61" s="3"/>
      <c r="I61" s="2"/>
      <c r="J61" s="3"/>
    </row>
    <row r="62" spans="1:17">
      <c r="A62" s="2" t="s">
        <v>70</v>
      </c>
      <c r="B62" s="3">
        <f>I5</f>
        <v>0</v>
      </c>
      <c r="C62" s="3">
        <f t="shared" ref="C62:G62" si="25">J5</f>
        <v>0</v>
      </c>
      <c r="D62" s="3">
        <f t="shared" si="25"/>
        <v>0</v>
      </c>
      <c r="E62" s="3">
        <f t="shared" si="25"/>
        <v>0</v>
      </c>
      <c r="F62" s="3">
        <f t="shared" si="25"/>
        <v>0</v>
      </c>
      <c r="G62" s="3">
        <f t="shared" si="25"/>
        <v>0</v>
      </c>
      <c r="H62" s="3"/>
      <c r="I62" s="2"/>
      <c r="J62" s="3"/>
    </row>
    <row r="63" spans="1:17">
      <c r="A63" s="4" t="s">
        <v>71</v>
      </c>
      <c r="B63" s="5">
        <f>P5</f>
        <v>0</v>
      </c>
      <c r="C63" s="5">
        <f t="shared" ref="C63:G63" si="26">Q5</f>
        <v>0</v>
      </c>
      <c r="D63" s="5">
        <f t="shared" si="26"/>
        <v>0</v>
      </c>
      <c r="E63" s="5">
        <f t="shared" si="26"/>
        <v>0</v>
      </c>
      <c r="F63" s="5">
        <f t="shared" si="26"/>
        <v>0</v>
      </c>
      <c r="G63" s="5">
        <f t="shared" si="26"/>
        <v>0</v>
      </c>
      <c r="H63" s="5"/>
      <c r="I63" s="2"/>
      <c r="J63" s="3"/>
    </row>
    <row r="64" spans="1:17">
      <c r="A64" s="6" t="s">
        <v>72</v>
      </c>
      <c r="B64" s="7">
        <f>W5</f>
        <v>0</v>
      </c>
      <c r="C64" s="7">
        <f t="shared" ref="C64:G64" si="27">X5</f>
        <v>0</v>
      </c>
      <c r="D64" s="7">
        <f t="shared" si="27"/>
        <v>0</v>
      </c>
      <c r="E64" s="7">
        <f t="shared" si="27"/>
        <v>0</v>
      </c>
      <c r="F64" s="7">
        <f t="shared" si="27"/>
        <v>0</v>
      </c>
      <c r="G64" s="7">
        <f t="shared" si="27"/>
        <v>0</v>
      </c>
      <c r="H64" s="7"/>
      <c r="I64" s="8"/>
      <c r="J64" s="8"/>
    </row>
    <row r="65" spans="1:10">
      <c r="A65" s="2" t="s">
        <v>73</v>
      </c>
      <c r="B65" s="3">
        <f>AD5</f>
        <v>0</v>
      </c>
      <c r="C65" s="3">
        <f t="shared" ref="C65:G65" si="28">AE5</f>
        <v>0</v>
      </c>
      <c r="D65" s="3">
        <f t="shared" si="28"/>
        <v>0</v>
      </c>
      <c r="E65" s="3">
        <f t="shared" si="28"/>
        <v>0</v>
      </c>
      <c r="F65" s="3">
        <f t="shared" si="28"/>
        <v>0</v>
      </c>
      <c r="G65" s="3">
        <f t="shared" si="28"/>
        <v>0</v>
      </c>
      <c r="H65" s="3"/>
    </row>
    <row r="66" spans="1:10">
      <c r="A66" s="6" t="s">
        <v>75</v>
      </c>
      <c r="B66" s="7">
        <f>AK5</f>
        <v>0</v>
      </c>
      <c r="C66" s="7">
        <f t="shared" ref="C66:G66" si="29">AL5</f>
        <v>0</v>
      </c>
      <c r="D66" s="7">
        <f t="shared" si="29"/>
        <v>0</v>
      </c>
      <c r="E66" s="7">
        <f t="shared" si="29"/>
        <v>0</v>
      </c>
      <c r="F66" s="7">
        <f t="shared" si="29"/>
        <v>0</v>
      </c>
      <c r="G66" s="7">
        <f t="shared" si="29"/>
        <v>0</v>
      </c>
      <c r="H66" s="7"/>
      <c r="I66" s="8"/>
      <c r="J66" s="8"/>
    </row>
    <row r="67" spans="1:10">
      <c r="A67" s="2" t="s">
        <v>76</v>
      </c>
      <c r="B67" s="3">
        <f>AR5</f>
        <v>0</v>
      </c>
      <c r="C67" s="3">
        <f t="shared" ref="C67:G67" si="30">AS5</f>
        <v>0</v>
      </c>
      <c r="D67" s="3">
        <f t="shared" si="30"/>
        <v>0</v>
      </c>
      <c r="E67" s="3">
        <f t="shared" si="30"/>
        <v>0</v>
      </c>
      <c r="F67" s="3">
        <f t="shared" si="30"/>
        <v>0</v>
      </c>
      <c r="G67" s="3">
        <f t="shared" si="30"/>
        <v>0</v>
      </c>
      <c r="H67" s="3"/>
      <c r="I67" s="2"/>
      <c r="J67" s="3"/>
    </row>
    <row r="68" spans="1:10">
      <c r="A68" s="2" t="s">
        <v>77</v>
      </c>
      <c r="B68" s="3">
        <f>AY5</f>
        <v>0</v>
      </c>
      <c r="C68" s="3">
        <f t="shared" ref="C68:G68" si="31">AZ5</f>
        <v>0</v>
      </c>
      <c r="D68" s="3">
        <f t="shared" si="31"/>
        <v>0</v>
      </c>
      <c r="E68" s="3">
        <f t="shared" si="31"/>
        <v>0</v>
      </c>
      <c r="F68" s="3">
        <f t="shared" si="31"/>
        <v>0</v>
      </c>
      <c r="G68" s="3">
        <f t="shared" si="31"/>
        <v>0</v>
      </c>
      <c r="H68" s="3"/>
      <c r="I68" s="2"/>
      <c r="J68" s="3"/>
    </row>
    <row r="71" spans="1:10">
      <c r="B71" s="2">
        <f>A6</f>
        <v>0</v>
      </c>
    </row>
    <row r="73" spans="1:10">
      <c r="B73" s="2" t="s">
        <v>59</v>
      </c>
      <c r="C73" s="2"/>
      <c r="D73" s="2" t="s">
        <v>60</v>
      </c>
      <c r="E73" s="2"/>
      <c r="F73" s="2" t="s">
        <v>61</v>
      </c>
      <c r="I73" s="2"/>
      <c r="J73" s="2"/>
    </row>
    <row r="74" spans="1:10">
      <c r="A74" s="2" t="s">
        <v>64</v>
      </c>
      <c r="B74" s="2" t="s">
        <v>65</v>
      </c>
      <c r="C74" s="2" t="s">
        <v>66</v>
      </c>
      <c r="D74" s="2" t="s">
        <v>65</v>
      </c>
      <c r="E74" s="2" t="s">
        <v>66</v>
      </c>
      <c r="F74" s="2" t="s">
        <v>65</v>
      </c>
      <c r="G74" s="2" t="s">
        <v>66</v>
      </c>
      <c r="H74" s="2"/>
      <c r="I74" s="2"/>
    </row>
    <row r="75" spans="1:10">
      <c r="A75" s="2" t="s">
        <v>68</v>
      </c>
      <c r="B75" s="3">
        <f>B6</f>
        <v>0</v>
      </c>
      <c r="C75" s="3">
        <f t="shared" ref="C75:G75" si="32">C6</f>
        <v>0</v>
      </c>
      <c r="D75" s="3">
        <f t="shared" si="32"/>
        <v>0</v>
      </c>
      <c r="E75" s="3">
        <f t="shared" si="32"/>
        <v>0</v>
      </c>
      <c r="F75" s="3">
        <f t="shared" si="32"/>
        <v>0</v>
      </c>
      <c r="G75" s="3">
        <f t="shared" si="32"/>
        <v>0</v>
      </c>
      <c r="H75" s="3"/>
      <c r="I75" s="2"/>
      <c r="J75" s="3"/>
    </row>
    <row r="76" spans="1:10">
      <c r="A76" s="2" t="s">
        <v>70</v>
      </c>
      <c r="B76" s="3">
        <f>I6</f>
        <v>0</v>
      </c>
      <c r="C76" s="3">
        <f t="shared" ref="C76:G76" si="33">J6</f>
        <v>0</v>
      </c>
      <c r="D76" s="3">
        <f t="shared" si="33"/>
        <v>0</v>
      </c>
      <c r="E76" s="3">
        <f t="shared" si="33"/>
        <v>0</v>
      </c>
      <c r="F76" s="3">
        <f t="shared" si="33"/>
        <v>0</v>
      </c>
      <c r="G76" s="3">
        <f t="shared" si="33"/>
        <v>0</v>
      </c>
      <c r="H76" s="3"/>
      <c r="I76" s="2"/>
      <c r="J76" s="3"/>
    </row>
    <row r="77" spans="1:10">
      <c r="A77" s="4" t="s">
        <v>71</v>
      </c>
      <c r="B77" s="5">
        <f>P6</f>
        <v>0</v>
      </c>
      <c r="C77" s="5">
        <f t="shared" ref="C77:G77" si="34">Q6</f>
        <v>0</v>
      </c>
      <c r="D77" s="5">
        <f t="shared" si="34"/>
        <v>0</v>
      </c>
      <c r="E77" s="5">
        <f t="shared" si="34"/>
        <v>0</v>
      </c>
      <c r="F77" s="5">
        <f t="shared" si="34"/>
        <v>0</v>
      </c>
      <c r="G77" s="5">
        <f t="shared" si="34"/>
        <v>0</v>
      </c>
      <c r="H77" s="5"/>
      <c r="I77" s="2"/>
      <c r="J77" s="3"/>
    </row>
    <row r="78" spans="1:10">
      <c r="A78" s="6" t="s">
        <v>72</v>
      </c>
      <c r="B78" s="7">
        <f>W6</f>
        <v>0</v>
      </c>
      <c r="C78" s="7">
        <f t="shared" ref="C78:G78" si="35">X6</f>
        <v>0</v>
      </c>
      <c r="D78" s="7">
        <f t="shared" si="35"/>
        <v>0</v>
      </c>
      <c r="E78" s="7">
        <f t="shared" si="35"/>
        <v>0</v>
      </c>
      <c r="F78" s="7">
        <f t="shared" si="35"/>
        <v>0</v>
      </c>
      <c r="G78" s="7">
        <f t="shared" si="35"/>
        <v>0</v>
      </c>
      <c r="H78" s="7"/>
      <c r="I78" s="8"/>
      <c r="J78" s="8"/>
    </row>
    <row r="79" spans="1:10">
      <c r="A79" s="2" t="s">
        <v>73</v>
      </c>
      <c r="B79" s="3">
        <f>AD6</f>
        <v>0</v>
      </c>
      <c r="C79" s="3">
        <f t="shared" ref="C79:G79" si="36">AE6</f>
        <v>0</v>
      </c>
      <c r="D79" s="3">
        <f t="shared" si="36"/>
        <v>0</v>
      </c>
      <c r="E79" s="3">
        <f t="shared" si="36"/>
        <v>0</v>
      </c>
      <c r="F79" s="3">
        <f t="shared" si="36"/>
        <v>0</v>
      </c>
      <c r="G79" s="3">
        <f t="shared" si="36"/>
        <v>0</v>
      </c>
      <c r="H79" s="3"/>
    </row>
    <row r="80" spans="1:10">
      <c r="A80" s="6" t="s">
        <v>75</v>
      </c>
      <c r="B80" s="7">
        <f>AK6</f>
        <v>0</v>
      </c>
      <c r="C80" s="7">
        <f t="shared" ref="C80:G80" si="37">AL6</f>
        <v>0</v>
      </c>
      <c r="D80" s="7">
        <f t="shared" si="37"/>
        <v>0</v>
      </c>
      <c r="E80" s="7">
        <f t="shared" si="37"/>
        <v>0</v>
      </c>
      <c r="F80" s="7">
        <f t="shared" si="37"/>
        <v>0</v>
      </c>
      <c r="G80" s="7">
        <f t="shared" si="37"/>
        <v>0</v>
      </c>
      <c r="H80" s="7"/>
      <c r="I80" s="8"/>
      <c r="J80" s="8"/>
    </row>
    <row r="81" spans="1:10">
      <c r="A81" s="2" t="s">
        <v>76</v>
      </c>
      <c r="B81" s="3">
        <f>AR6</f>
        <v>0</v>
      </c>
      <c r="C81" s="3">
        <f t="shared" ref="C81:G81" si="38">AS6</f>
        <v>0</v>
      </c>
      <c r="D81" s="3">
        <f t="shared" si="38"/>
        <v>0</v>
      </c>
      <c r="E81" s="3">
        <f t="shared" si="38"/>
        <v>0</v>
      </c>
      <c r="F81" s="3">
        <f t="shared" si="38"/>
        <v>0</v>
      </c>
      <c r="G81" s="3">
        <f t="shared" si="38"/>
        <v>0</v>
      </c>
      <c r="H81" s="3"/>
      <c r="I81" s="2"/>
      <c r="J81" s="3"/>
    </row>
    <row r="82" spans="1:10">
      <c r="A82" s="2" t="s">
        <v>77</v>
      </c>
      <c r="B82" s="3">
        <f>AY6</f>
        <v>0</v>
      </c>
      <c r="C82" s="3">
        <f t="shared" ref="C82:G82" si="39">AZ6</f>
        <v>0</v>
      </c>
      <c r="D82" s="3">
        <f t="shared" si="39"/>
        <v>0</v>
      </c>
      <c r="E82" s="3">
        <f t="shared" si="39"/>
        <v>0</v>
      </c>
      <c r="F82" s="3">
        <f t="shared" si="39"/>
        <v>0</v>
      </c>
      <c r="G82" s="3">
        <f t="shared" si="39"/>
        <v>0</v>
      </c>
      <c r="H82" s="3"/>
      <c r="I82" s="2"/>
      <c r="J82" s="3"/>
    </row>
    <row r="85" spans="1:10">
      <c r="B85" s="2">
        <f>A7</f>
        <v>0</v>
      </c>
    </row>
    <row r="87" spans="1:10">
      <c r="B87" s="2" t="s">
        <v>59</v>
      </c>
      <c r="C87" s="2"/>
      <c r="D87" s="2" t="s">
        <v>60</v>
      </c>
      <c r="E87" s="2"/>
      <c r="F87" s="2" t="s">
        <v>61</v>
      </c>
      <c r="I87" s="2"/>
      <c r="J87" s="2"/>
    </row>
    <row r="88" spans="1:10">
      <c r="A88" s="2" t="s">
        <v>64</v>
      </c>
      <c r="B88" s="2" t="s">
        <v>65</v>
      </c>
      <c r="C88" s="2" t="s">
        <v>66</v>
      </c>
      <c r="D88" s="2" t="s">
        <v>65</v>
      </c>
      <c r="E88" s="2" t="s">
        <v>66</v>
      </c>
      <c r="F88" s="2" t="s">
        <v>65</v>
      </c>
      <c r="G88" s="2" t="s">
        <v>66</v>
      </c>
      <c r="H88" s="2"/>
      <c r="I88" s="2"/>
    </row>
    <row r="89" spans="1:10">
      <c r="A89" s="2" t="s">
        <v>68</v>
      </c>
      <c r="B89" s="3">
        <f>B7</f>
        <v>0</v>
      </c>
      <c r="C89" s="3">
        <f t="shared" ref="C89:G89" si="40">C7</f>
        <v>0</v>
      </c>
      <c r="D89" s="3">
        <f t="shared" si="40"/>
        <v>0</v>
      </c>
      <c r="E89" s="3">
        <f t="shared" si="40"/>
        <v>0</v>
      </c>
      <c r="F89" s="3">
        <f t="shared" si="40"/>
        <v>0</v>
      </c>
      <c r="G89" s="3">
        <f t="shared" si="40"/>
        <v>0</v>
      </c>
      <c r="H89" s="3"/>
      <c r="I89" s="2"/>
      <c r="J89" s="3"/>
    </row>
    <row r="90" spans="1:10">
      <c r="A90" s="2" t="s">
        <v>70</v>
      </c>
      <c r="B90" s="3">
        <f>I7</f>
        <v>0</v>
      </c>
      <c r="C90" s="3">
        <f t="shared" ref="C90:G90" si="41">J7</f>
        <v>0</v>
      </c>
      <c r="D90" s="3">
        <f t="shared" si="41"/>
        <v>0</v>
      </c>
      <c r="E90" s="3">
        <f t="shared" si="41"/>
        <v>0</v>
      </c>
      <c r="F90" s="3">
        <f t="shared" si="41"/>
        <v>0</v>
      </c>
      <c r="G90" s="3">
        <f t="shared" si="41"/>
        <v>0</v>
      </c>
      <c r="H90" s="3"/>
      <c r="I90" s="2"/>
      <c r="J90" s="3"/>
    </row>
    <row r="91" spans="1:10">
      <c r="A91" s="4" t="s">
        <v>71</v>
      </c>
      <c r="B91" s="5">
        <f>P7</f>
        <v>0</v>
      </c>
      <c r="C91" s="5">
        <f t="shared" ref="C91:G91" si="42">Q7</f>
        <v>0</v>
      </c>
      <c r="D91" s="5">
        <f t="shared" si="42"/>
        <v>0</v>
      </c>
      <c r="E91" s="5">
        <f t="shared" si="42"/>
        <v>0</v>
      </c>
      <c r="F91" s="5">
        <f t="shared" si="42"/>
        <v>0</v>
      </c>
      <c r="G91" s="5">
        <f t="shared" si="42"/>
        <v>0</v>
      </c>
      <c r="H91" s="5"/>
      <c r="I91" s="2"/>
      <c r="J91" s="3"/>
    </row>
    <row r="92" spans="1:10">
      <c r="A92" s="6" t="s">
        <v>72</v>
      </c>
      <c r="B92" s="7">
        <f>W7</f>
        <v>0</v>
      </c>
      <c r="C92" s="7">
        <f t="shared" ref="C92:G92" si="43">X7</f>
        <v>0</v>
      </c>
      <c r="D92" s="7">
        <f t="shared" si="43"/>
        <v>0</v>
      </c>
      <c r="E92" s="7">
        <f t="shared" si="43"/>
        <v>0</v>
      </c>
      <c r="F92" s="7">
        <f t="shared" si="43"/>
        <v>0</v>
      </c>
      <c r="G92" s="7">
        <f t="shared" si="43"/>
        <v>0</v>
      </c>
      <c r="H92" s="7"/>
      <c r="I92" s="8"/>
      <c r="J92" s="8"/>
    </row>
    <row r="93" spans="1:10">
      <c r="A93" s="2" t="s">
        <v>73</v>
      </c>
      <c r="B93" s="3">
        <f>AD7</f>
        <v>0</v>
      </c>
      <c r="C93" s="3">
        <f t="shared" ref="C93:G93" si="44">AE7</f>
        <v>0</v>
      </c>
      <c r="D93" s="3">
        <f t="shared" si="44"/>
        <v>0</v>
      </c>
      <c r="E93" s="3">
        <f t="shared" si="44"/>
        <v>0</v>
      </c>
      <c r="F93" s="3">
        <f t="shared" si="44"/>
        <v>0</v>
      </c>
      <c r="G93" s="3">
        <f t="shared" si="44"/>
        <v>0</v>
      </c>
      <c r="H93" s="3"/>
    </row>
    <row r="94" spans="1:10">
      <c r="A94" s="6" t="s">
        <v>75</v>
      </c>
      <c r="B94" s="7">
        <f>AK7</f>
        <v>0</v>
      </c>
      <c r="C94" s="7">
        <f t="shared" ref="C94:G94" si="45">AL7</f>
        <v>0</v>
      </c>
      <c r="D94" s="7">
        <f t="shared" si="45"/>
        <v>0</v>
      </c>
      <c r="E94" s="7">
        <f t="shared" si="45"/>
        <v>0</v>
      </c>
      <c r="F94" s="7">
        <f t="shared" si="45"/>
        <v>0</v>
      </c>
      <c r="G94" s="7">
        <f t="shared" si="45"/>
        <v>0</v>
      </c>
      <c r="H94" s="7"/>
      <c r="I94" s="8"/>
      <c r="J94" s="8"/>
    </row>
    <row r="95" spans="1:10">
      <c r="A95" s="2" t="s">
        <v>76</v>
      </c>
      <c r="B95" s="3">
        <f>AR7</f>
        <v>0</v>
      </c>
      <c r="C95" s="3">
        <f t="shared" ref="C95:G95" si="46">AS7</f>
        <v>0</v>
      </c>
      <c r="D95" s="3">
        <f t="shared" si="46"/>
        <v>0</v>
      </c>
      <c r="E95" s="3">
        <f t="shared" si="46"/>
        <v>0</v>
      </c>
      <c r="F95" s="3">
        <f t="shared" si="46"/>
        <v>0</v>
      </c>
      <c r="G95" s="3">
        <f t="shared" si="46"/>
        <v>0</v>
      </c>
      <c r="H95" s="3"/>
      <c r="I95" s="2"/>
      <c r="J95" s="3"/>
    </row>
    <row r="96" spans="1:10">
      <c r="A96" s="2" t="s">
        <v>77</v>
      </c>
      <c r="B96" s="3">
        <f>AY7</f>
        <v>0</v>
      </c>
      <c r="C96" s="3">
        <f t="shared" ref="C96:G96" si="47">AZ7</f>
        <v>0</v>
      </c>
      <c r="D96" s="3">
        <f t="shared" si="47"/>
        <v>0</v>
      </c>
      <c r="E96" s="3">
        <f t="shared" si="47"/>
        <v>0</v>
      </c>
      <c r="F96" s="3">
        <f t="shared" si="47"/>
        <v>0</v>
      </c>
      <c r="G96" s="3">
        <f t="shared" si="47"/>
        <v>0</v>
      </c>
      <c r="H96" s="3"/>
      <c r="I96" s="2"/>
      <c r="J9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D5876-99BA-C641-8903-D401262E5613}">
  <dimension ref="A1:AW96"/>
  <sheetViews>
    <sheetView zoomScale="110" zoomScaleNormal="110" workbookViewId="0">
      <selection activeCell="J37" sqref="J37"/>
    </sheetView>
  </sheetViews>
  <sheetFormatPr baseColWidth="10" defaultRowHeight="16"/>
  <cols>
    <col min="2" max="2" width="12.1640625" customWidth="1"/>
    <col min="8" max="8" width="14.6640625" customWidth="1"/>
    <col min="14" max="14" width="15" customWidth="1"/>
    <col min="15" max="15" width="26.1640625" customWidth="1"/>
    <col min="16" max="16" width="16.83203125" bestFit="1" customWidth="1"/>
    <col min="18" max="18" width="13" customWidth="1"/>
    <col min="19" max="19" width="13.1640625" customWidth="1"/>
    <col min="25" max="25" width="11.33203125" customWidth="1"/>
    <col min="26" max="26" width="18.5" customWidth="1"/>
    <col min="27" max="27" width="13.6640625" customWidth="1"/>
    <col min="31" max="31" width="13" customWidth="1"/>
    <col min="32" max="32" width="15.6640625" customWidth="1"/>
    <col min="38" max="38" width="19.1640625" customWidth="1"/>
    <col min="44" max="44" width="14" customWidth="1"/>
  </cols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</row>
    <row r="2" spans="1:49">
      <c r="A2" t="s">
        <v>57</v>
      </c>
      <c r="B2">
        <v>0.35556759843976099</v>
      </c>
      <c r="C2">
        <v>11.926354866385701</v>
      </c>
      <c r="D2">
        <v>0.14391043320472</v>
      </c>
      <c r="E2">
        <v>0.884564523875221</v>
      </c>
      <c r="F2">
        <v>2.0900771320468699E-2</v>
      </c>
      <c r="G2">
        <v>9.7102076233160195E-2</v>
      </c>
      <c r="H2">
        <v>0.710401326433998</v>
      </c>
      <c r="I2">
        <v>0.63140693450585905</v>
      </c>
      <c r="J2">
        <v>0.400924959174421</v>
      </c>
      <c r="K2">
        <v>8.4214961660119797E-2</v>
      </c>
      <c r="L2">
        <v>2.22178957852842E-2</v>
      </c>
      <c r="M2">
        <v>4.3249422186362997E-2</v>
      </c>
      <c r="N2">
        <v>0.16572659005969101</v>
      </c>
      <c r="O2">
        <v>0.66518031731695904</v>
      </c>
      <c r="P2">
        <v>7.4092385413554701E-2</v>
      </c>
      <c r="Q2">
        <v>9.1992640767630696E-2</v>
      </c>
      <c r="R2">
        <v>2.0599654180426301E-2</v>
      </c>
      <c r="S2">
        <v>3.8560413169728497E-2</v>
      </c>
      <c r="T2">
        <v>9.27073856161853E-2</v>
      </c>
      <c r="U2">
        <v>2.0997733950251201</v>
      </c>
      <c r="V2">
        <v>3.4570167508557598E-2</v>
      </c>
      <c r="W2">
        <v>0.248592901079083</v>
      </c>
      <c r="X2">
        <v>2.0216449832393499E-2</v>
      </c>
      <c r="Y2">
        <v>4.3959854612462101E-2</v>
      </c>
      <c r="Z2">
        <v>7.4196343005053497E-2</v>
      </c>
      <c r="AA2">
        <v>3.0838018760145198</v>
      </c>
      <c r="AB2">
        <v>2.8959831902687101E-2</v>
      </c>
      <c r="AC2">
        <v>0.34190579151252398</v>
      </c>
      <c r="AD2">
        <v>1.99565469370507E-2</v>
      </c>
      <c r="AE2">
        <v>4.60317902194003E-2</v>
      </c>
      <c r="AF2">
        <v>9.9259952042842103E-2</v>
      </c>
      <c r="AG2">
        <v>1.5556005776244901</v>
      </c>
      <c r="AH2">
        <v>3.6696635646863297E-2</v>
      </c>
      <c r="AI2">
        <v>0.19347378715826</v>
      </c>
      <c r="AJ2">
        <v>2.0034985688272E-2</v>
      </c>
      <c r="AK2">
        <v>4.1705771460033798E-2</v>
      </c>
      <c r="AL2">
        <v>7.0209541752126001E-2</v>
      </c>
      <c r="AM2">
        <v>4.0314746367809304</v>
      </c>
      <c r="AN2">
        <v>2.8510223172830199E-2</v>
      </c>
      <c r="AO2">
        <v>0.42297763807692601</v>
      </c>
      <c r="AP2">
        <v>87.584594730831</v>
      </c>
      <c r="AQ2">
        <v>62.234981444303898</v>
      </c>
      <c r="AR2">
        <v>9.2707389429711004E-2</v>
      </c>
      <c r="AS2">
        <v>2.0999802887730299</v>
      </c>
      <c r="AT2">
        <v>3.4572200249715197E-2</v>
      </c>
      <c r="AU2">
        <v>0.24861369229553101</v>
      </c>
      <c r="AV2">
        <v>2.02164483686103E-2</v>
      </c>
      <c r="AW2">
        <v>4.39600324037785E-2</v>
      </c>
    </row>
    <row r="3" spans="1:49">
      <c r="A3" t="s">
        <v>80</v>
      </c>
      <c r="B3">
        <v>105.39038365483</v>
      </c>
      <c r="C3">
        <v>3.0017599434927602</v>
      </c>
      <c r="D3">
        <v>2.9897699514610698</v>
      </c>
      <c r="E3">
        <v>2.39608688215566</v>
      </c>
      <c r="F3">
        <v>4.8696360528460101</v>
      </c>
      <c r="G3">
        <v>20.9168787174745</v>
      </c>
      <c r="H3">
        <v>39.6589719718867</v>
      </c>
      <c r="I3">
        <v>32.742379252241697</v>
      </c>
      <c r="J3">
        <v>2.1662073836175502</v>
      </c>
      <c r="K3">
        <v>5.7445849750496203</v>
      </c>
      <c r="L3">
        <v>1.4540373565214</v>
      </c>
      <c r="M3">
        <v>0.465201076662279</v>
      </c>
      <c r="N3">
        <v>3.3921009036299301</v>
      </c>
      <c r="O3">
        <v>153.46233425549499</v>
      </c>
      <c r="P3">
        <v>8.44153076410665E-2</v>
      </c>
      <c r="Q3">
        <v>0.29684593598433401</v>
      </c>
      <c r="R3">
        <v>2.3204016205766198</v>
      </c>
      <c r="S3">
        <v>1.2054179667635301</v>
      </c>
      <c r="T3">
        <v>5.7539941493835798</v>
      </c>
      <c r="U3">
        <v>241.17577758334099</v>
      </c>
      <c r="V3">
        <v>0.61255217873094003</v>
      </c>
      <c r="W3">
        <v>0.30773915606226498</v>
      </c>
      <c r="X3">
        <v>2.5222555780856002</v>
      </c>
      <c r="Y3">
        <v>1.7687650221157101</v>
      </c>
      <c r="Z3">
        <v>5.23036417339386</v>
      </c>
      <c r="AA3">
        <v>298.876321247774</v>
      </c>
      <c r="AB3">
        <v>0.35386152452861602</v>
      </c>
      <c r="AC3">
        <v>0.31108271596848402</v>
      </c>
      <c r="AD3">
        <v>2.5497556391431901</v>
      </c>
      <c r="AE3">
        <v>2.0219819032742401</v>
      </c>
      <c r="AF3">
        <v>3.1700323280999099</v>
      </c>
      <c r="AG3">
        <v>166.79463143532499</v>
      </c>
      <c r="AH3">
        <v>6.6475647890145003E-3</v>
      </c>
      <c r="AI3">
        <v>0.29942140582104199</v>
      </c>
      <c r="AJ3">
        <v>2.3212417093626501</v>
      </c>
      <c r="AK3">
        <v>1.3057288292279301</v>
      </c>
      <c r="AL3">
        <v>5.6194207483240302</v>
      </c>
      <c r="AM3">
        <v>286.17635498387801</v>
      </c>
      <c r="AN3">
        <v>0.51890214210110797</v>
      </c>
      <c r="AO3">
        <v>0.310408110983657</v>
      </c>
      <c r="AP3">
        <v>717.45321999950102</v>
      </c>
      <c r="AQ3">
        <v>499.28804341724702</v>
      </c>
      <c r="AR3">
        <v>3.7121684819413598</v>
      </c>
      <c r="AS3">
        <v>1442058647304510</v>
      </c>
      <c r="AT3">
        <v>0.66860143247403403</v>
      </c>
      <c r="AU3" t="s">
        <v>79</v>
      </c>
      <c r="AV3">
        <v>2.52374180254971</v>
      </c>
      <c r="AW3">
        <v>1004251857427940</v>
      </c>
    </row>
    <row r="5" spans="1:49">
      <c r="T5" s="1"/>
    </row>
    <row r="6" spans="1:49">
      <c r="T6" s="1"/>
    </row>
    <row r="7" spans="1:49">
      <c r="T7" s="1"/>
    </row>
    <row r="9" spans="1:49">
      <c r="N9" t="s">
        <v>82</v>
      </c>
      <c r="O9" t="s">
        <v>83</v>
      </c>
    </row>
    <row r="10" spans="1:49">
      <c r="N10" t="s">
        <v>84</v>
      </c>
      <c r="O10" s="11" t="s">
        <v>81</v>
      </c>
    </row>
    <row r="13" spans="1:49">
      <c r="B13" s="2" t="str">
        <f>A2</f>
        <v>transit_stations_percent_change_from_baseline</v>
      </c>
    </row>
    <row r="15" spans="1:49">
      <c r="B15" s="2" t="s">
        <v>59</v>
      </c>
      <c r="C15" s="2"/>
      <c r="D15" s="2" t="s">
        <v>60</v>
      </c>
      <c r="E15" s="2"/>
      <c r="F15" s="2" t="s">
        <v>61</v>
      </c>
      <c r="I15" s="2"/>
      <c r="J15" s="2"/>
      <c r="K15" s="2"/>
      <c r="L15" s="2"/>
      <c r="M15" s="2"/>
      <c r="N15" s="2"/>
    </row>
    <row r="16" spans="1:49">
      <c r="A16" s="2" t="s">
        <v>64</v>
      </c>
      <c r="B16" s="2" t="s">
        <v>65</v>
      </c>
      <c r="C16" s="2" t="s">
        <v>66</v>
      </c>
      <c r="D16" s="2" t="s">
        <v>65</v>
      </c>
      <c r="E16" s="2" t="s">
        <v>66</v>
      </c>
      <c r="F16" s="2" t="s">
        <v>65</v>
      </c>
      <c r="G16" s="2" t="s">
        <v>66</v>
      </c>
      <c r="H16" s="2"/>
      <c r="I16" s="2"/>
    </row>
    <row r="17" spans="1:18">
      <c r="A17" s="2" t="s">
        <v>68</v>
      </c>
      <c r="B17" s="3">
        <f>B2</f>
        <v>0.35556759843976099</v>
      </c>
      <c r="C17" s="3">
        <f t="shared" ref="C17:G17" si="0">C2</f>
        <v>11.926354866385701</v>
      </c>
      <c r="D17" s="3">
        <f t="shared" si="0"/>
        <v>0.14391043320472</v>
      </c>
      <c r="E17" s="3">
        <f t="shared" si="0"/>
        <v>0.884564523875221</v>
      </c>
      <c r="F17" s="3">
        <f t="shared" si="0"/>
        <v>2.0900771320468699E-2</v>
      </c>
      <c r="G17" s="3">
        <f t="shared" si="0"/>
        <v>9.7102076233160195E-2</v>
      </c>
      <c r="H17" s="3"/>
      <c r="I17" s="2"/>
      <c r="J17" s="3"/>
      <c r="K17" s="3"/>
      <c r="L17" s="2"/>
      <c r="M17" s="3"/>
      <c r="N17" s="3"/>
      <c r="O17" s="3"/>
    </row>
    <row r="18" spans="1:18">
      <c r="A18" s="2" t="s">
        <v>70</v>
      </c>
      <c r="B18" s="3">
        <f>H2</f>
        <v>0.710401326433998</v>
      </c>
      <c r="C18" s="3">
        <f t="shared" ref="C18:G18" si="1">I2</f>
        <v>0.63140693450585905</v>
      </c>
      <c r="D18" s="3">
        <f t="shared" si="1"/>
        <v>0.400924959174421</v>
      </c>
      <c r="E18" s="3">
        <f t="shared" si="1"/>
        <v>8.4214961660119797E-2</v>
      </c>
      <c r="F18" s="3">
        <f t="shared" si="1"/>
        <v>2.22178957852842E-2</v>
      </c>
      <c r="G18" s="3">
        <f t="shared" si="1"/>
        <v>4.3249422186362997E-2</v>
      </c>
      <c r="H18" s="3"/>
      <c r="I18" s="2"/>
      <c r="J18" s="3"/>
      <c r="K18" s="3"/>
      <c r="L18" s="3"/>
      <c r="M18" s="3"/>
      <c r="N18" s="3"/>
      <c r="O18" s="3"/>
    </row>
    <row r="19" spans="1:18">
      <c r="A19" s="4" t="s">
        <v>71</v>
      </c>
      <c r="B19" s="5">
        <f>N2</f>
        <v>0.16572659005969101</v>
      </c>
      <c r="C19" s="5">
        <f>O2</f>
        <v>0.66518031731695904</v>
      </c>
      <c r="D19" s="5">
        <f t="shared" ref="D19:G19" si="2">P2</f>
        <v>7.4092385413554701E-2</v>
      </c>
      <c r="E19" s="5">
        <f t="shared" si="2"/>
        <v>9.1992640767630696E-2</v>
      </c>
      <c r="F19" s="5">
        <f t="shared" si="2"/>
        <v>2.0599654180426301E-2</v>
      </c>
      <c r="G19" s="5">
        <f t="shared" si="2"/>
        <v>3.8560413169728497E-2</v>
      </c>
      <c r="H19" s="5"/>
      <c r="I19" s="2"/>
      <c r="J19" s="3"/>
      <c r="K19" s="3"/>
      <c r="L19" s="3"/>
      <c r="M19" s="3"/>
      <c r="N19" s="3"/>
      <c r="O19" s="3"/>
    </row>
    <row r="20" spans="1:18">
      <c r="A20" s="6" t="s">
        <v>72</v>
      </c>
      <c r="B20" s="7">
        <f>T2</f>
        <v>9.27073856161853E-2</v>
      </c>
      <c r="C20" s="7">
        <f t="shared" ref="C20:F20" si="3">U2</f>
        <v>2.0997733950251201</v>
      </c>
      <c r="D20" s="7">
        <f t="shared" si="3"/>
        <v>3.4570167508557598E-2</v>
      </c>
      <c r="E20" s="7">
        <f t="shared" si="3"/>
        <v>0.248592901079083</v>
      </c>
      <c r="F20" s="7">
        <f t="shared" si="3"/>
        <v>2.0216449832393499E-2</v>
      </c>
      <c r="G20" s="7">
        <f>Y2</f>
        <v>4.3959854612462101E-2</v>
      </c>
      <c r="H20" s="7"/>
      <c r="I20" s="8"/>
      <c r="J20" s="8"/>
      <c r="K20" s="3"/>
      <c r="L20" s="3"/>
      <c r="M20" s="3"/>
      <c r="N20" s="3"/>
      <c r="O20" s="3"/>
    </row>
    <row r="21" spans="1:18">
      <c r="A21" s="2" t="s">
        <v>73</v>
      </c>
      <c r="B21" s="3">
        <f>Z2</f>
        <v>7.4196343005053497E-2</v>
      </c>
      <c r="C21" s="3">
        <f t="shared" ref="C21:G21" si="4">AA2</f>
        <v>3.0838018760145198</v>
      </c>
      <c r="D21" s="3">
        <f t="shared" si="4"/>
        <v>2.8959831902687101E-2</v>
      </c>
      <c r="E21" s="3">
        <f t="shared" si="4"/>
        <v>0.34190579151252398</v>
      </c>
      <c r="F21" s="3">
        <f>AD2</f>
        <v>1.99565469370507E-2</v>
      </c>
      <c r="G21" s="3">
        <f t="shared" si="4"/>
        <v>4.60317902194003E-2</v>
      </c>
      <c r="H21" s="3"/>
      <c r="K21" s="3"/>
      <c r="L21" s="3"/>
      <c r="M21" s="3"/>
      <c r="N21" s="3" t="s">
        <v>64</v>
      </c>
      <c r="O21" t="s">
        <v>59</v>
      </c>
      <c r="P21" s="3" t="s">
        <v>60</v>
      </c>
      <c r="Q21" t="s">
        <v>61</v>
      </c>
      <c r="R21" s="3"/>
    </row>
    <row r="22" spans="1:18">
      <c r="A22" s="6" t="s">
        <v>75</v>
      </c>
      <c r="B22" s="7">
        <f>AF2</f>
        <v>9.9259952042842103E-2</v>
      </c>
      <c r="C22" s="7">
        <f t="shared" ref="C22:G22" si="5">AG2</f>
        <v>1.5556005776244901</v>
      </c>
      <c r="D22" s="7">
        <f t="shared" si="5"/>
        <v>3.6696635646863297E-2</v>
      </c>
      <c r="E22" s="7">
        <f t="shared" si="5"/>
        <v>0.19347378715826</v>
      </c>
      <c r="F22" s="7">
        <f t="shared" si="5"/>
        <v>2.0034985688272E-2</v>
      </c>
      <c r="G22" s="7">
        <f t="shared" si="5"/>
        <v>4.1705771460033798E-2</v>
      </c>
      <c r="H22" s="7"/>
      <c r="I22" s="8"/>
      <c r="J22" s="8"/>
      <c r="K22" s="3"/>
      <c r="L22" s="3"/>
      <c r="M22" s="3"/>
      <c r="N22" s="3" t="s">
        <v>71</v>
      </c>
      <c r="O22" s="3">
        <f>C19</f>
        <v>0.66518031731695904</v>
      </c>
      <c r="P22" s="3">
        <f>E19</f>
        <v>9.1992640767630696E-2</v>
      </c>
      <c r="Q22" s="10">
        <f>G19</f>
        <v>3.8560413169728497E-2</v>
      </c>
    </row>
    <row r="23" spans="1:18">
      <c r="A23" s="2" t="s">
        <v>76</v>
      </c>
      <c r="B23" s="3">
        <f>AL2</f>
        <v>7.0209541752126001E-2</v>
      </c>
      <c r="C23" s="3">
        <f t="shared" ref="C23:G23" si="6">AM2</f>
        <v>4.0314746367809304</v>
      </c>
      <c r="D23" s="3">
        <f t="shared" si="6"/>
        <v>2.8510223172830199E-2</v>
      </c>
      <c r="E23" s="3">
        <f t="shared" si="6"/>
        <v>0.42297763807692601</v>
      </c>
      <c r="F23" s="3">
        <f t="shared" si="6"/>
        <v>87.584594730831</v>
      </c>
      <c r="G23" s="3">
        <f t="shared" si="6"/>
        <v>62.234981444303898</v>
      </c>
      <c r="H23" s="3"/>
      <c r="I23" s="2"/>
      <c r="J23" s="3"/>
      <c r="K23" s="3"/>
      <c r="L23" s="3"/>
      <c r="N23" s="3" t="s">
        <v>78</v>
      </c>
      <c r="O23" s="3">
        <f>C20</f>
        <v>2.0997733950251201</v>
      </c>
      <c r="P23" s="3">
        <f>E20</f>
        <v>0.248592901079083</v>
      </c>
      <c r="Q23" s="10">
        <f>G20</f>
        <v>4.3959854612462101E-2</v>
      </c>
    </row>
    <row r="24" spans="1:18">
      <c r="A24" s="2" t="s">
        <v>77</v>
      </c>
      <c r="B24" s="3">
        <f>AR2</f>
        <v>9.2707389429711004E-2</v>
      </c>
      <c r="C24" s="3">
        <f t="shared" ref="C24:G24" si="7">AS2</f>
        <v>2.0999802887730299</v>
      </c>
      <c r="D24" s="3">
        <f t="shared" si="7"/>
        <v>3.4572200249715197E-2</v>
      </c>
      <c r="E24" s="3">
        <f t="shared" si="7"/>
        <v>0.24861369229553101</v>
      </c>
      <c r="F24" s="3">
        <f t="shared" si="7"/>
        <v>2.02164483686103E-2</v>
      </c>
      <c r="G24" s="3">
        <f t="shared" si="7"/>
        <v>4.39600324037785E-2</v>
      </c>
      <c r="H24" s="3"/>
      <c r="I24" s="2"/>
      <c r="J24" s="3"/>
      <c r="K24" s="3"/>
      <c r="L24" s="3"/>
      <c r="M24" s="3"/>
      <c r="N24" t="s">
        <v>75</v>
      </c>
      <c r="O24" s="3">
        <f>C22</f>
        <v>1.5556005776244901</v>
      </c>
      <c r="P24" s="3">
        <f>E22</f>
        <v>0.19347378715826</v>
      </c>
      <c r="Q24" s="10">
        <f>G22</f>
        <v>4.1705771460033798E-2</v>
      </c>
    </row>
    <row r="25" spans="1:18">
      <c r="N25" s="3" t="s">
        <v>73</v>
      </c>
      <c r="O25" s="3">
        <f>C21</f>
        <v>3.0838018760145198</v>
      </c>
      <c r="P25" s="3">
        <f>E21</f>
        <v>0.34190579151252398</v>
      </c>
      <c r="Q25" s="10">
        <f>G21</f>
        <v>4.60317902194003E-2</v>
      </c>
    </row>
    <row r="28" spans="1:18">
      <c r="B28" s="2" t="str">
        <f>A3</f>
        <v>residential_percent_change_from_baseline</v>
      </c>
    </row>
    <row r="30" spans="1:18">
      <c r="B30" s="2" t="s">
        <v>59</v>
      </c>
      <c r="C30" s="2"/>
      <c r="D30" s="2" t="s">
        <v>60</v>
      </c>
      <c r="E30" s="2"/>
      <c r="F30" s="2" t="s">
        <v>61</v>
      </c>
      <c r="I30" s="2"/>
      <c r="J30" s="2"/>
    </row>
    <row r="31" spans="1:18">
      <c r="A31" s="2" t="s">
        <v>64</v>
      </c>
      <c r="B31" s="2" t="s">
        <v>65</v>
      </c>
      <c r="C31" s="2" t="s">
        <v>66</v>
      </c>
      <c r="D31" s="2" t="s">
        <v>65</v>
      </c>
      <c r="E31" s="2" t="s">
        <v>66</v>
      </c>
      <c r="F31" s="2" t="s">
        <v>65</v>
      </c>
      <c r="G31" s="2" t="s">
        <v>66</v>
      </c>
      <c r="H31" s="2"/>
      <c r="I31" s="2"/>
      <c r="N31" s="3"/>
      <c r="P31" s="3"/>
    </row>
    <row r="32" spans="1:18">
      <c r="A32" s="2" t="s">
        <v>68</v>
      </c>
      <c r="B32" s="3">
        <f>B3</f>
        <v>105.39038365483</v>
      </c>
      <c r="C32" s="3">
        <f t="shared" ref="C32:G32" si="8">C3</f>
        <v>3.0017599434927602</v>
      </c>
      <c r="D32" s="3">
        <f t="shared" si="8"/>
        <v>2.9897699514610698</v>
      </c>
      <c r="E32" s="3">
        <f t="shared" si="8"/>
        <v>2.39608688215566</v>
      </c>
      <c r="F32" s="3">
        <f t="shared" si="8"/>
        <v>4.8696360528460101</v>
      </c>
      <c r="G32" s="3">
        <f t="shared" si="8"/>
        <v>20.9168787174745</v>
      </c>
      <c r="H32" s="3"/>
      <c r="I32" s="2"/>
      <c r="J32" s="3"/>
      <c r="N32" s="3"/>
      <c r="O32" s="3"/>
      <c r="P32" s="9"/>
      <c r="Q32" s="10"/>
    </row>
    <row r="33" spans="1:17">
      <c r="A33" s="2" t="s">
        <v>70</v>
      </c>
      <c r="B33" s="3">
        <f>H3</f>
        <v>39.6589719718867</v>
      </c>
      <c r="C33" s="3">
        <f t="shared" ref="C33:G33" si="9">I3</f>
        <v>32.742379252241697</v>
      </c>
      <c r="D33" s="3">
        <f t="shared" si="9"/>
        <v>2.1662073836175502</v>
      </c>
      <c r="E33" s="3">
        <f t="shared" si="9"/>
        <v>5.7445849750496203</v>
      </c>
      <c r="F33" s="3">
        <f t="shared" si="9"/>
        <v>1.4540373565214</v>
      </c>
      <c r="G33" s="3">
        <f t="shared" si="9"/>
        <v>0.465201076662279</v>
      </c>
      <c r="H33" s="3"/>
      <c r="I33" s="2"/>
      <c r="J33" s="3"/>
      <c r="N33" s="3"/>
      <c r="O33" s="3"/>
      <c r="P33" s="9"/>
      <c r="Q33" s="10"/>
    </row>
    <row r="34" spans="1:17">
      <c r="A34" s="4" t="s">
        <v>71</v>
      </c>
      <c r="B34" s="5">
        <f>N3</f>
        <v>3.3921009036299301</v>
      </c>
      <c r="C34" s="5">
        <f>O3</f>
        <v>153.46233425549499</v>
      </c>
      <c r="D34" s="5">
        <f t="shared" ref="D34:F34" si="10">P3</f>
        <v>8.44153076410665E-2</v>
      </c>
      <c r="E34" s="5">
        <f t="shared" si="10"/>
        <v>0.29684593598433401</v>
      </c>
      <c r="F34" s="5">
        <f t="shared" si="10"/>
        <v>2.3204016205766198</v>
      </c>
      <c r="G34" s="5">
        <f>S3</f>
        <v>1.2054179667635301</v>
      </c>
      <c r="H34" s="5"/>
      <c r="I34" s="2"/>
      <c r="J34" s="3"/>
      <c r="N34" s="3"/>
      <c r="P34" s="3"/>
    </row>
    <row r="35" spans="1:17">
      <c r="A35" s="6" t="s">
        <v>72</v>
      </c>
      <c r="B35" s="7">
        <f>T3</f>
        <v>5.7539941493835798</v>
      </c>
      <c r="C35" s="7">
        <f t="shared" ref="C35:G35" si="11">U3</f>
        <v>241.17577758334099</v>
      </c>
      <c r="D35" s="7">
        <f t="shared" si="11"/>
        <v>0.61255217873094003</v>
      </c>
      <c r="E35" s="7">
        <f t="shared" si="11"/>
        <v>0.30773915606226498</v>
      </c>
      <c r="F35" s="7">
        <f t="shared" si="11"/>
        <v>2.5222555780856002</v>
      </c>
      <c r="G35" s="7">
        <f t="shared" si="11"/>
        <v>1.7687650221157101</v>
      </c>
      <c r="H35" s="7"/>
      <c r="I35" s="8"/>
      <c r="J35" s="8"/>
      <c r="N35" s="3"/>
      <c r="O35" s="3"/>
      <c r="P35" s="9"/>
      <c r="Q35" s="10"/>
    </row>
    <row r="36" spans="1:17">
      <c r="A36" s="2" t="s">
        <v>73</v>
      </c>
      <c r="B36" s="3">
        <f>Z3</f>
        <v>5.23036417339386</v>
      </c>
      <c r="C36" s="3">
        <f t="shared" ref="C36:G36" si="12">AA3</f>
        <v>298.876321247774</v>
      </c>
      <c r="D36" s="3">
        <f t="shared" si="12"/>
        <v>0.35386152452861602</v>
      </c>
      <c r="E36" s="3">
        <f t="shared" si="12"/>
        <v>0.31108271596848402</v>
      </c>
      <c r="F36" s="3">
        <f t="shared" si="12"/>
        <v>2.5497556391431901</v>
      </c>
      <c r="G36" s="3">
        <f t="shared" si="12"/>
        <v>2.0219819032742401</v>
      </c>
      <c r="H36" s="3"/>
      <c r="N36" s="3" t="s">
        <v>64</v>
      </c>
      <c r="O36" t="s">
        <v>59</v>
      </c>
      <c r="P36" s="3" t="s">
        <v>60</v>
      </c>
      <c r="Q36" t="s">
        <v>61</v>
      </c>
    </row>
    <row r="37" spans="1:17">
      <c r="A37" s="6" t="s">
        <v>75</v>
      </c>
      <c r="B37" s="7">
        <f>AF3</f>
        <v>3.1700323280999099</v>
      </c>
      <c r="C37" s="7">
        <f t="shared" ref="C37:G37" si="13">AG3</f>
        <v>166.79463143532499</v>
      </c>
      <c r="D37" s="7">
        <f t="shared" si="13"/>
        <v>6.6475647890145003E-3</v>
      </c>
      <c r="E37" s="7">
        <f t="shared" si="13"/>
        <v>0.29942140582104199</v>
      </c>
      <c r="F37" s="7">
        <f t="shared" si="13"/>
        <v>2.3212417093626501</v>
      </c>
      <c r="G37" s="7">
        <f t="shared" si="13"/>
        <v>1.3057288292279301</v>
      </c>
      <c r="H37" s="7"/>
      <c r="I37" s="8"/>
      <c r="J37" s="8"/>
      <c r="N37" s="3" t="s">
        <v>71</v>
      </c>
      <c r="O37" s="3">
        <f>C34</f>
        <v>153.46233425549499</v>
      </c>
      <c r="P37" s="3">
        <f>E34</f>
        <v>0.29684593598433401</v>
      </c>
      <c r="Q37" s="10">
        <f>G34</f>
        <v>1.2054179667635301</v>
      </c>
    </row>
    <row r="38" spans="1:17">
      <c r="A38" s="2" t="s">
        <v>76</v>
      </c>
      <c r="B38" s="3">
        <f>AL3</f>
        <v>5.6194207483240302</v>
      </c>
      <c r="C38" s="3">
        <f t="shared" ref="C38:G38" si="14">AM3</f>
        <v>286.17635498387801</v>
      </c>
      <c r="D38" s="3">
        <f t="shared" si="14"/>
        <v>0.51890214210110797</v>
      </c>
      <c r="E38" s="3">
        <f t="shared" si="14"/>
        <v>0.310408110983657</v>
      </c>
      <c r="F38" s="3">
        <f t="shared" si="14"/>
        <v>717.45321999950102</v>
      </c>
      <c r="G38" s="3">
        <f t="shared" si="14"/>
        <v>499.28804341724702</v>
      </c>
      <c r="H38" s="3"/>
      <c r="I38" s="2"/>
      <c r="J38" s="3"/>
      <c r="N38" s="3" t="s">
        <v>78</v>
      </c>
      <c r="O38" s="3">
        <f>C35</f>
        <v>241.17577758334099</v>
      </c>
      <c r="P38" s="3">
        <f>E35</f>
        <v>0.30773915606226498</v>
      </c>
      <c r="Q38" s="10">
        <f>G35</f>
        <v>1.7687650221157101</v>
      </c>
    </row>
    <row r="39" spans="1:17">
      <c r="A39" s="2" t="s">
        <v>77</v>
      </c>
      <c r="B39" s="3">
        <f>AR3</f>
        <v>3.7121684819413598</v>
      </c>
      <c r="C39" s="3">
        <f t="shared" ref="C39:G39" si="15">AS3</f>
        <v>1442058647304510</v>
      </c>
      <c r="D39" s="3">
        <f t="shared" si="15"/>
        <v>0.66860143247403403</v>
      </c>
      <c r="E39" s="3" t="str">
        <f t="shared" si="15"/>
        <v>inf</v>
      </c>
      <c r="F39" s="3">
        <f t="shared" si="15"/>
        <v>2.52374180254971</v>
      </c>
      <c r="G39" s="3">
        <f t="shared" si="15"/>
        <v>1004251857427940</v>
      </c>
      <c r="H39" s="3"/>
      <c r="I39" s="2"/>
      <c r="J39" s="3"/>
      <c r="N39" t="s">
        <v>75</v>
      </c>
      <c r="O39" s="3">
        <f>C37</f>
        <v>166.79463143532499</v>
      </c>
      <c r="P39" s="3">
        <f>E37</f>
        <v>0.29942140582104199</v>
      </c>
      <c r="Q39" s="10">
        <f>G37</f>
        <v>1.3057288292279301</v>
      </c>
    </row>
    <row r="40" spans="1:17">
      <c r="N40" s="3" t="s">
        <v>73</v>
      </c>
      <c r="O40" s="3">
        <f>C36</f>
        <v>298.876321247774</v>
      </c>
      <c r="P40" s="3">
        <f>E36</f>
        <v>0.31108271596848402</v>
      </c>
      <c r="Q40" s="10">
        <f>G36</f>
        <v>2.0219819032742401</v>
      </c>
    </row>
    <row r="43" spans="1:17">
      <c r="B43" s="2" t="str">
        <f>A18</f>
        <v>DQQ</v>
      </c>
    </row>
    <row r="45" spans="1:17">
      <c r="B45" s="2" t="s">
        <v>59</v>
      </c>
      <c r="C45" s="2"/>
      <c r="D45" s="2" t="s">
        <v>60</v>
      </c>
      <c r="E45" s="2"/>
      <c r="F45" s="2" t="s">
        <v>61</v>
      </c>
      <c r="I45" s="2"/>
      <c r="J45" s="2"/>
    </row>
    <row r="46" spans="1:17">
      <c r="A46" s="2" t="s">
        <v>64</v>
      </c>
      <c r="B46" s="2" t="s">
        <v>65</v>
      </c>
      <c r="C46" s="2" t="s">
        <v>66</v>
      </c>
      <c r="D46" s="2" t="s">
        <v>65</v>
      </c>
      <c r="E46" s="2" t="s">
        <v>66</v>
      </c>
      <c r="F46" s="2" t="s">
        <v>65</v>
      </c>
      <c r="G46" s="2" t="s">
        <v>66</v>
      </c>
      <c r="H46" s="2"/>
      <c r="I46" s="2"/>
    </row>
    <row r="47" spans="1:17">
      <c r="A47" s="2" t="s">
        <v>68</v>
      </c>
      <c r="B47" s="3">
        <f>B4</f>
        <v>0</v>
      </c>
      <c r="C47" s="3">
        <f t="shared" ref="C47:G47" si="16">C4</f>
        <v>0</v>
      </c>
      <c r="D47" s="3">
        <f t="shared" si="16"/>
        <v>0</v>
      </c>
      <c r="E47" s="3">
        <f t="shared" si="16"/>
        <v>0</v>
      </c>
      <c r="F47" s="3">
        <f t="shared" si="16"/>
        <v>0</v>
      </c>
      <c r="G47" s="3">
        <f t="shared" si="16"/>
        <v>0</v>
      </c>
      <c r="H47" s="3"/>
      <c r="I47" s="2"/>
      <c r="J47" s="3"/>
    </row>
    <row r="48" spans="1:17">
      <c r="A48" s="2" t="s">
        <v>70</v>
      </c>
      <c r="B48" s="3">
        <f>H4</f>
        <v>0</v>
      </c>
      <c r="C48" s="3">
        <f t="shared" ref="C48:G48" si="17">I4</f>
        <v>0</v>
      </c>
      <c r="D48" s="3">
        <f t="shared" si="17"/>
        <v>0</v>
      </c>
      <c r="E48" s="3">
        <f t="shared" si="17"/>
        <v>0</v>
      </c>
      <c r="F48" s="3">
        <f t="shared" si="17"/>
        <v>0</v>
      </c>
      <c r="G48" s="3">
        <f t="shared" si="17"/>
        <v>0</v>
      </c>
      <c r="H48" s="3"/>
      <c r="I48" s="2"/>
      <c r="J48" s="3"/>
    </row>
    <row r="49" spans="1:17">
      <c r="A49" s="4" t="s">
        <v>71</v>
      </c>
      <c r="B49" s="5">
        <f>N4</f>
        <v>0</v>
      </c>
      <c r="C49" s="5">
        <f t="shared" ref="C49:G49" si="18">O4</f>
        <v>0</v>
      </c>
      <c r="D49" s="5">
        <f t="shared" si="18"/>
        <v>0</v>
      </c>
      <c r="E49" s="5">
        <f t="shared" si="18"/>
        <v>0</v>
      </c>
      <c r="F49" s="5">
        <f t="shared" si="18"/>
        <v>0</v>
      </c>
      <c r="G49" s="5">
        <f t="shared" si="18"/>
        <v>0</v>
      </c>
      <c r="H49" s="5"/>
      <c r="I49" s="2"/>
      <c r="J49" s="3"/>
    </row>
    <row r="50" spans="1:17">
      <c r="A50" s="6" t="s">
        <v>72</v>
      </c>
      <c r="B50" s="7">
        <f>T4</f>
        <v>0</v>
      </c>
      <c r="C50" s="7">
        <f t="shared" ref="C50:G50" si="19">U4</f>
        <v>0</v>
      </c>
      <c r="D50" s="7">
        <f t="shared" si="19"/>
        <v>0</v>
      </c>
      <c r="E50" s="7">
        <f t="shared" si="19"/>
        <v>0</v>
      </c>
      <c r="F50" s="7">
        <f t="shared" si="19"/>
        <v>0</v>
      </c>
      <c r="G50" s="7">
        <f t="shared" si="19"/>
        <v>0</v>
      </c>
      <c r="H50" s="7"/>
      <c r="I50" s="8"/>
      <c r="J50" s="8"/>
    </row>
    <row r="51" spans="1:17">
      <c r="A51" s="2" t="s">
        <v>73</v>
      </c>
      <c r="B51" s="3">
        <f>Z4</f>
        <v>0</v>
      </c>
      <c r="C51" s="3">
        <f t="shared" ref="C51:G51" si="20">AA4</f>
        <v>0</v>
      </c>
      <c r="D51" s="3">
        <f t="shared" si="20"/>
        <v>0</v>
      </c>
      <c r="E51" s="3">
        <f t="shared" si="20"/>
        <v>0</v>
      </c>
      <c r="F51" s="3">
        <f t="shared" si="20"/>
        <v>0</v>
      </c>
      <c r="G51" s="3">
        <f t="shared" si="20"/>
        <v>0</v>
      </c>
      <c r="H51" s="3"/>
      <c r="N51" s="3" t="s">
        <v>64</v>
      </c>
      <c r="O51" t="s">
        <v>59</v>
      </c>
      <c r="P51" s="3" t="s">
        <v>60</v>
      </c>
      <c r="Q51" t="s">
        <v>61</v>
      </c>
    </row>
    <row r="52" spans="1:17">
      <c r="A52" s="6" t="s">
        <v>75</v>
      </c>
      <c r="B52" s="7">
        <f>AF4</f>
        <v>0</v>
      </c>
      <c r="C52" s="7">
        <f t="shared" ref="C52:G52" si="21">AG4</f>
        <v>0</v>
      </c>
      <c r="D52" s="7">
        <f t="shared" si="21"/>
        <v>0</v>
      </c>
      <c r="E52" s="7">
        <f t="shared" si="21"/>
        <v>0</v>
      </c>
      <c r="F52" s="7">
        <f t="shared" si="21"/>
        <v>0</v>
      </c>
      <c r="G52" s="7">
        <f t="shared" si="21"/>
        <v>0</v>
      </c>
      <c r="H52" s="7"/>
      <c r="I52" s="8"/>
      <c r="J52" s="8"/>
      <c r="N52" s="3" t="s">
        <v>71</v>
      </c>
      <c r="O52" s="3">
        <f>C49</f>
        <v>0</v>
      </c>
      <c r="P52" s="3">
        <f>E49</f>
        <v>0</v>
      </c>
      <c r="Q52" s="10">
        <f>G49</f>
        <v>0</v>
      </c>
    </row>
    <row r="53" spans="1:17">
      <c r="A53" s="2" t="s">
        <v>76</v>
      </c>
      <c r="B53" s="3">
        <f>AL4</f>
        <v>0</v>
      </c>
      <c r="C53" s="3">
        <f t="shared" ref="C53:G53" si="22">AM4</f>
        <v>0</v>
      </c>
      <c r="D53" s="3">
        <f t="shared" si="22"/>
        <v>0</v>
      </c>
      <c r="E53" s="3">
        <f t="shared" si="22"/>
        <v>0</v>
      </c>
      <c r="F53" s="3">
        <f t="shared" si="22"/>
        <v>0</v>
      </c>
      <c r="G53" s="3">
        <f t="shared" si="22"/>
        <v>0</v>
      </c>
      <c r="H53" s="3"/>
      <c r="I53" s="2"/>
      <c r="J53" s="3"/>
      <c r="N53" s="3" t="s">
        <v>78</v>
      </c>
      <c r="O53" s="3">
        <f>C50</f>
        <v>0</v>
      </c>
      <c r="P53" s="3">
        <f>E50</f>
        <v>0</v>
      </c>
      <c r="Q53" s="10">
        <f>G50</f>
        <v>0</v>
      </c>
    </row>
    <row r="54" spans="1:17">
      <c r="A54" s="2" t="s">
        <v>77</v>
      </c>
      <c r="B54" s="3">
        <f>AR4</f>
        <v>0</v>
      </c>
      <c r="C54" s="3">
        <f t="shared" ref="C54:G54" si="23">AS4</f>
        <v>0</v>
      </c>
      <c r="D54" s="3">
        <f t="shared" si="23"/>
        <v>0</v>
      </c>
      <c r="E54" s="3">
        <f t="shared" si="23"/>
        <v>0</v>
      </c>
      <c r="F54" s="3">
        <f t="shared" si="23"/>
        <v>0</v>
      </c>
      <c r="G54" s="3">
        <f t="shared" si="23"/>
        <v>0</v>
      </c>
      <c r="H54" s="3"/>
      <c r="I54" s="2"/>
      <c r="J54" s="3"/>
      <c r="N54" t="s">
        <v>75</v>
      </c>
      <c r="O54" s="3">
        <f>C52</f>
        <v>0</v>
      </c>
      <c r="P54" s="3">
        <f>E52</f>
        <v>0</v>
      </c>
      <c r="Q54" s="10">
        <f>G52</f>
        <v>0</v>
      </c>
    </row>
    <row r="55" spans="1:17">
      <c r="N55" s="3" t="s">
        <v>73</v>
      </c>
      <c r="O55" s="3">
        <f>C51</f>
        <v>0</v>
      </c>
      <c r="P55" s="3">
        <f>E51</f>
        <v>0</v>
      </c>
      <c r="Q55" s="10">
        <f>G51</f>
        <v>0</v>
      </c>
    </row>
    <row r="57" spans="1:17">
      <c r="B57" s="2">
        <f>A5</f>
        <v>0</v>
      </c>
    </row>
    <row r="59" spans="1:17">
      <c r="B59" s="2" t="s">
        <v>59</v>
      </c>
      <c r="C59" s="2"/>
      <c r="D59" s="2" t="s">
        <v>60</v>
      </c>
      <c r="E59" s="2"/>
      <c r="F59" s="2" t="s">
        <v>61</v>
      </c>
      <c r="I59" s="2"/>
      <c r="J59" s="2"/>
    </row>
    <row r="60" spans="1:17">
      <c r="A60" s="2" t="s">
        <v>64</v>
      </c>
      <c r="B60" s="2" t="s">
        <v>65</v>
      </c>
      <c r="C60" s="2" t="s">
        <v>66</v>
      </c>
      <c r="D60" s="2" t="s">
        <v>65</v>
      </c>
      <c r="E60" s="2" t="s">
        <v>66</v>
      </c>
      <c r="F60" s="2" t="s">
        <v>65</v>
      </c>
      <c r="G60" s="2" t="s">
        <v>66</v>
      </c>
      <c r="H60" s="2"/>
      <c r="I60" s="2"/>
    </row>
    <row r="61" spans="1:17">
      <c r="A61" s="2" t="s">
        <v>68</v>
      </c>
      <c r="B61" s="3">
        <f>B5</f>
        <v>0</v>
      </c>
      <c r="C61" s="3">
        <f t="shared" ref="C61:G61" si="24">C5</f>
        <v>0</v>
      </c>
      <c r="D61" s="3">
        <f t="shared" si="24"/>
        <v>0</v>
      </c>
      <c r="E61" s="3">
        <f t="shared" si="24"/>
        <v>0</v>
      </c>
      <c r="F61" s="3">
        <f t="shared" si="24"/>
        <v>0</v>
      </c>
      <c r="G61" s="3">
        <f t="shared" si="24"/>
        <v>0</v>
      </c>
      <c r="H61" s="3"/>
      <c r="I61" s="2"/>
      <c r="J61" s="3"/>
    </row>
    <row r="62" spans="1:17">
      <c r="A62" s="2" t="s">
        <v>70</v>
      </c>
      <c r="B62" s="3">
        <f>I5</f>
        <v>0</v>
      </c>
      <c r="C62" s="3">
        <f t="shared" ref="C62:G62" si="25">J5</f>
        <v>0</v>
      </c>
      <c r="D62" s="3">
        <f t="shared" si="25"/>
        <v>0</v>
      </c>
      <c r="E62" s="3">
        <f t="shared" si="25"/>
        <v>0</v>
      </c>
      <c r="F62" s="3">
        <f t="shared" si="25"/>
        <v>0</v>
      </c>
      <c r="G62" s="3">
        <f t="shared" si="25"/>
        <v>0</v>
      </c>
      <c r="H62" s="3"/>
      <c r="I62" s="2"/>
      <c r="J62" s="3"/>
    </row>
    <row r="63" spans="1:17">
      <c r="A63" s="4" t="s">
        <v>71</v>
      </c>
      <c r="B63" s="5">
        <f>P5</f>
        <v>0</v>
      </c>
      <c r="C63" s="5">
        <f t="shared" ref="C63:G63" si="26">Q5</f>
        <v>0</v>
      </c>
      <c r="D63" s="5">
        <f t="shared" si="26"/>
        <v>0</v>
      </c>
      <c r="E63" s="5">
        <f t="shared" si="26"/>
        <v>0</v>
      </c>
      <c r="F63" s="5">
        <f t="shared" si="26"/>
        <v>0</v>
      </c>
      <c r="G63" s="5">
        <f t="shared" si="26"/>
        <v>0</v>
      </c>
      <c r="H63" s="5"/>
      <c r="I63" s="2"/>
      <c r="J63" s="3"/>
    </row>
    <row r="64" spans="1:17">
      <c r="A64" s="6" t="s">
        <v>72</v>
      </c>
      <c r="B64" s="7">
        <f>W5</f>
        <v>0</v>
      </c>
      <c r="C64" s="7">
        <f t="shared" ref="C64:G64" si="27">X5</f>
        <v>0</v>
      </c>
      <c r="D64" s="7">
        <f t="shared" si="27"/>
        <v>0</v>
      </c>
      <c r="E64" s="7">
        <f t="shared" si="27"/>
        <v>0</v>
      </c>
      <c r="F64" s="7">
        <f t="shared" si="27"/>
        <v>0</v>
      </c>
      <c r="G64" s="7">
        <f t="shared" si="27"/>
        <v>0</v>
      </c>
      <c r="H64" s="7"/>
      <c r="I64" s="8"/>
      <c r="J64" s="8"/>
    </row>
    <row r="65" spans="1:10">
      <c r="A65" s="2" t="s">
        <v>73</v>
      </c>
      <c r="B65" s="3">
        <f>AD5</f>
        <v>0</v>
      </c>
      <c r="C65" s="3">
        <f t="shared" ref="C65:G65" si="28">AE5</f>
        <v>0</v>
      </c>
      <c r="D65" s="3">
        <f t="shared" si="28"/>
        <v>0</v>
      </c>
      <c r="E65" s="3">
        <f t="shared" si="28"/>
        <v>0</v>
      </c>
      <c r="F65" s="3">
        <f t="shared" si="28"/>
        <v>0</v>
      </c>
      <c r="G65" s="3">
        <f t="shared" si="28"/>
        <v>0</v>
      </c>
      <c r="H65" s="3"/>
    </row>
    <row r="66" spans="1:10">
      <c r="A66" s="6" t="s">
        <v>75</v>
      </c>
      <c r="B66" s="7">
        <f>AK5</f>
        <v>0</v>
      </c>
      <c r="C66" s="7">
        <f t="shared" ref="C66:G66" si="29">AL5</f>
        <v>0</v>
      </c>
      <c r="D66" s="7">
        <f t="shared" si="29"/>
        <v>0</v>
      </c>
      <c r="E66" s="7">
        <f t="shared" si="29"/>
        <v>0</v>
      </c>
      <c r="F66" s="7">
        <f t="shared" si="29"/>
        <v>0</v>
      </c>
      <c r="G66" s="7">
        <f t="shared" si="29"/>
        <v>0</v>
      </c>
      <c r="H66" s="7"/>
      <c r="I66" s="8"/>
      <c r="J66" s="8"/>
    </row>
    <row r="67" spans="1:10">
      <c r="A67" s="2" t="s">
        <v>76</v>
      </c>
      <c r="B67" s="3">
        <f>AR5</f>
        <v>0</v>
      </c>
      <c r="C67" s="3">
        <f t="shared" ref="C67:G67" si="30">AS5</f>
        <v>0</v>
      </c>
      <c r="D67" s="3">
        <f t="shared" si="30"/>
        <v>0</v>
      </c>
      <c r="E67" s="3">
        <f t="shared" si="30"/>
        <v>0</v>
      </c>
      <c r="F67" s="3">
        <f t="shared" si="30"/>
        <v>0</v>
      </c>
      <c r="G67" s="3">
        <f t="shared" si="30"/>
        <v>0</v>
      </c>
      <c r="H67" s="3"/>
      <c r="I67" s="2"/>
      <c r="J67" s="3"/>
    </row>
    <row r="68" spans="1:10">
      <c r="A68" s="2" t="s">
        <v>77</v>
      </c>
      <c r="B68" s="3">
        <f>AY5</f>
        <v>0</v>
      </c>
      <c r="C68" s="3">
        <f t="shared" ref="C68:G68" si="31">AZ5</f>
        <v>0</v>
      </c>
      <c r="D68" s="3">
        <f t="shared" si="31"/>
        <v>0</v>
      </c>
      <c r="E68" s="3">
        <f t="shared" si="31"/>
        <v>0</v>
      </c>
      <c r="F68" s="3">
        <f t="shared" si="31"/>
        <v>0</v>
      </c>
      <c r="G68" s="3">
        <f t="shared" si="31"/>
        <v>0</v>
      </c>
      <c r="H68" s="3"/>
      <c r="I68" s="2"/>
      <c r="J68" s="3"/>
    </row>
    <row r="71" spans="1:10">
      <c r="B71" s="2">
        <f>A6</f>
        <v>0</v>
      </c>
    </row>
    <row r="73" spans="1:10">
      <c r="B73" s="2" t="s">
        <v>59</v>
      </c>
      <c r="C73" s="2"/>
      <c r="D73" s="2" t="s">
        <v>60</v>
      </c>
      <c r="E73" s="2"/>
      <c r="F73" s="2" t="s">
        <v>61</v>
      </c>
      <c r="I73" s="2"/>
      <c r="J73" s="2"/>
    </row>
    <row r="74" spans="1:10">
      <c r="A74" s="2" t="s">
        <v>64</v>
      </c>
      <c r="B74" s="2" t="s">
        <v>65</v>
      </c>
      <c r="C74" s="2" t="s">
        <v>66</v>
      </c>
      <c r="D74" s="2" t="s">
        <v>65</v>
      </c>
      <c r="E74" s="2" t="s">
        <v>66</v>
      </c>
      <c r="F74" s="2" t="s">
        <v>65</v>
      </c>
      <c r="G74" s="2" t="s">
        <v>66</v>
      </c>
      <c r="H74" s="2"/>
      <c r="I74" s="2"/>
    </row>
    <row r="75" spans="1:10">
      <c r="A75" s="2" t="s">
        <v>68</v>
      </c>
      <c r="B75" s="3">
        <f>B6</f>
        <v>0</v>
      </c>
      <c r="C75" s="3">
        <f t="shared" ref="C75:G75" si="32">C6</f>
        <v>0</v>
      </c>
      <c r="D75" s="3">
        <f t="shared" si="32"/>
        <v>0</v>
      </c>
      <c r="E75" s="3">
        <f t="shared" si="32"/>
        <v>0</v>
      </c>
      <c r="F75" s="3">
        <f t="shared" si="32"/>
        <v>0</v>
      </c>
      <c r="G75" s="3">
        <f t="shared" si="32"/>
        <v>0</v>
      </c>
      <c r="H75" s="3"/>
      <c r="I75" s="2"/>
      <c r="J75" s="3"/>
    </row>
    <row r="76" spans="1:10">
      <c r="A76" s="2" t="s">
        <v>70</v>
      </c>
      <c r="B76" s="3">
        <f>I6</f>
        <v>0</v>
      </c>
      <c r="C76" s="3">
        <f t="shared" ref="C76:G76" si="33">J6</f>
        <v>0</v>
      </c>
      <c r="D76" s="3">
        <f t="shared" si="33"/>
        <v>0</v>
      </c>
      <c r="E76" s="3">
        <f t="shared" si="33"/>
        <v>0</v>
      </c>
      <c r="F76" s="3">
        <f t="shared" si="33"/>
        <v>0</v>
      </c>
      <c r="G76" s="3">
        <f t="shared" si="33"/>
        <v>0</v>
      </c>
      <c r="H76" s="3"/>
      <c r="I76" s="2"/>
      <c r="J76" s="3"/>
    </row>
    <row r="77" spans="1:10">
      <c r="A77" s="4" t="s">
        <v>71</v>
      </c>
      <c r="B77" s="5">
        <f>P6</f>
        <v>0</v>
      </c>
      <c r="C77" s="5">
        <f t="shared" ref="C77:G77" si="34">Q6</f>
        <v>0</v>
      </c>
      <c r="D77" s="5">
        <f t="shared" si="34"/>
        <v>0</v>
      </c>
      <c r="E77" s="5">
        <f t="shared" si="34"/>
        <v>0</v>
      </c>
      <c r="F77" s="5">
        <f t="shared" si="34"/>
        <v>0</v>
      </c>
      <c r="G77" s="5">
        <f t="shared" si="34"/>
        <v>0</v>
      </c>
      <c r="H77" s="5"/>
      <c r="I77" s="2"/>
      <c r="J77" s="3"/>
    </row>
    <row r="78" spans="1:10">
      <c r="A78" s="6" t="s">
        <v>72</v>
      </c>
      <c r="B78" s="7">
        <f>W6</f>
        <v>0</v>
      </c>
      <c r="C78" s="7">
        <f t="shared" ref="C78:G78" si="35">X6</f>
        <v>0</v>
      </c>
      <c r="D78" s="7">
        <f t="shared" si="35"/>
        <v>0</v>
      </c>
      <c r="E78" s="7">
        <f t="shared" si="35"/>
        <v>0</v>
      </c>
      <c r="F78" s="7">
        <f t="shared" si="35"/>
        <v>0</v>
      </c>
      <c r="G78" s="7">
        <f t="shared" si="35"/>
        <v>0</v>
      </c>
      <c r="H78" s="7"/>
      <c r="I78" s="8"/>
      <c r="J78" s="8"/>
    </row>
    <row r="79" spans="1:10">
      <c r="A79" s="2" t="s">
        <v>73</v>
      </c>
      <c r="B79" s="3">
        <f>AD6</f>
        <v>0</v>
      </c>
      <c r="C79" s="3">
        <f t="shared" ref="C79:G79" si="36">AE6</f>
        <v>0</v>
      </c>
      <c r="D79" s="3">
        <f t="shared" si="36"/>
        <v>0</v>
      </c>
      <c r="E79" s="3">
        <f t="shared" si="36"/>
        <v>0</v>
      </c>
      <c r="F79" s="3">
        <f t="shared" si="36"/>
        <v>0</v>
      </c>
      <c r="G79" s="3">
        <f t="shared" si="36"/>
        <v>0</v>
      </c>
      <c r="H79" s="3"/>
    </row>
    <row r="80" spans="1:10">
      <c r="A80" s="6" t="s">
        <v>75</v>
      </c>
      <c r="B80" s="7">
        <f>AK6</f>
        <v>0</v>
      </c>
      <c r="C80" s="7">
        <f t="shared" ref="C80:G80" si="37">AL6</f>
        <v>0</v>
      </c>
      <c r="D80" s="7">
        <f t="shared" si="37"/>
        <v>0</v>
      </c>
      <c r="E80" s="7">
        <f t="shared" si="37"/>
        <v>0</v>
      </c>
      <c r="F80" s="7">
        <f t="shared" si="37"/>
        <v>0</v>
      </c>
      <c r="G80" s="7">
        <f t="shared" si="37"/>
        <v>0</v>
      </c>
      <c r="H80" s="7"/>
      <c r="I80" s="8"/>
      <c r="J80" s="8"/>
    </row>
    <row r="81" spans="1:10">
      <c r="A81" s="2" t="s">
        <v>76</v>
      </c>
      <c r="B81" s="3">
        <f>AR6</f>
        <v>0</v>
      </c>
      <c r="C81" s="3">
        <f t="shared" ref="C81:G81" si="38">AS6</f>
        <v>0</v>
      </c>
      <c r="D81" s="3">
        <f t="shared" si="38"/>
        <v>0</v>
      </c>
      <c r="E81" s="3">
        <f t="shared" si="38"/>
        <v>0</v>
      </c>
      <c r="F81" s="3">
        <f t="shared" si="38"/>
        <v>0</v>
      </c>
      <c r="G81" s="3">
        <f t="shared" si="38"/>
        <v>0</v>
      </c>
      <c r="H81" s="3"/>
      <c r="I81" s="2"/>
      <c r="J81" s="3"/>
    </row>
    <row r="82" spans="1:10">
      <c r="A82" s="2" t="s">
        <v>77</v>
      </c>
      <c r="B82" s="3">
        <f>AY6</f>
        <v>0</v>
      </c>
      <c r="C82" s="3">
        <f t="shared" ref="C82:G82" si="39">AZ6</f>
        <v>0</v>
      </c>
      <c r="D82" s="3">
        <f t="shared" si="39"/>
        <v>0</v>
      </c>
      <c r="E82" s="3">
        <f t="shared" si="39"/>
        <v>0</v>
      </c>
      <c r="F82" s="3">
        <f t="shared" si="39"/>
        <v>0</v>
      </c>
      <c r="G82" s="3">
        <f t="shared" si="39"/>
        <v>0</v>
      </c>
      <c r="H82" s="3"/>
      <c r="I82" s="2"/>
      <c r="J82" s="3"/>
    </row>
    <row r="85" spans="1:10">
      <c r="B85" s="2">
        <f>A7</f>
        <v>0</v>
      </c>
    </row>
    <row r="87" spans="1:10">
      <c r="B87" s="2" t="s">
        <v>59</v>
      </c>
      <c r="C87" s="2"/>
      <c r="D87" s="2" t="s">
        <v>60</v>
      </c>
      <c r="E87" s="2"/>
      <c r="F87" s="2" t="s">
        <v>61</v>
      </c>
      <c r="I87" s="2"/>
      <c r="J87" s="2"/>
    </row>
    <row r="88" spans="1:10">
      <c r="A88" s="2" t="s">
        <v>64</v>
      </c>
      <c r="B88" s="2" t="s">
        <v>65</v>
      </c>
      <c r="C88" s="2" t="s">
        <v>66</v>
      </c>
      <c r="D88" s="2" t="s">
        <v>65</v>
      </c>
      <c r="E88" s="2" t="s">
        <v>66</v>
      </c>
      <c r="F88" s="2" t="s">
        <v>65</v>
      </c>
      <c r="G88" s="2" t="s">
        <v>66</v>
      </c>
      <c r="H88" s="2"/>
      <c r="I88" s="2"/>
    </row>
    <row r="89" spans="1:10">
      <c r="A89" s="2" t="s">
        <v>68</v>
      </c>
      <c r="B89" s="3">
        <f>B7</f>
        <v>0</v>
      </c>
      <c r="C89" s="3">
        <f t="shared" ref="C89:G89" si="40">C7</f>
        <v>0</v>
      </c>
      <c r="D89" s="3">
        <f t="shared" si="40"/>
        <v>0</v>
      </c>
      <c r="E89" s="3">
        <f t="shared" si="40"/>
        <v>0</v>
      </c>
      <c r="F89" s="3">
        <f t="shared" si="40"/>
        <v>0</v>
      </c>
      <c r="G89" s="3">
        <f t="shared" si="40"/>
        <v>0</v>
      </c>
      <c r="H89" s="3"/>
      <c r="I89" s="2"/>
      <c r="J89" s="3"/>
    </row>
    <row r="90" spans="1:10">
      <c r="A90" s="2" t="s">
        <v>70</v>
      </c>
      <c r="B90" s="3">
        <f>I7</f>
        <v>0</v>
      </c>
      <c r="C90" s="3">
        <f t="shared" ref="C90:G90" si="41">J7</f>
        <v>0</v>
      </c>
      <c r="D90" s="3">
        <f t="shared" si="41"/>
        <v>0</v>
      </c>
      <c r="E90" s="3">
        <f t="shared" si="41"/>
        <v>0</v>
      </c>
      <c r="F90" s="3">
        <f t="shared" si="41"/>
        <v>0</v>
      </c>
      <c r="G90" s="3">
        <f t="shared" si="41"/>
        <v>0</v>
      </c>
      <c r="H90" s="3"/>
      <c r="I90" s="2"/>
      <c r="J90" s="3"/>
    </row>
    <row r="91" spans="1:10">
      <c r="A91" s="4" t="s">
        <v>71</v>
      </c>
      <c r="B91" s="5">
        <f>P7</f>
        <v>0</v>
      </c>
      <c r="C91" s="5">
        <f t="shared" ref="C91:G91" si="42">Q7</f>
        <v>0</v>
      </c>
      <c r="D91" s="5">
        <f t="shared" si="42"/>
        <v>0</v>
      </c>
      <c r="E91" s="5">
        <f t="shared" si="42"/>
        <v>0</v>
      </c>
      <c r="F91" s="5">
        <f t="shared" si="42"/>
        <v>0</v>
      </c>
      <c r="G91" s="5">
        <f t="shared" si="42"/>
        <v>0</v>
      </c>
      <c r="H91" s="5"/>
      <c r="I91" s="2"/>
      <c r="J91" s="3"/>
    </row>
    <row r="92" spans="1:10">
      <c r="A92" s="6" t="s">
        <v>72</v>
      </c>
      <c r="B92" s="7">
        <f>W7</f>
        <v>0</v>
      </c>
      <c r="C92" s="7">
        <f t="shared" ref="C92:G92" si="43">X7</f>
        <v>0</v>
      </c>
      <c r="D92" s="7">
        <f t="shared" si="43"/>
        <v>0</v>
      </c>
      <c r="E92" s="7">
        <f t="shared" si="43"/>
        <v>0</v>
      </c>
      <c r="F92" s="7">
        <f t="shared" si="43"/>
        <v>0</v>
      </c>
      <c r="G92" s="7">
        <f t="shared" si="43"/>
        <v>0</v>
      </c>
      <c r="H92" s="7"/>
      <c r="I92" s="8"/>
      <c r="J92" s="8"/>
    </row>
    <row r="93" spans="1:10">
      <c r="A93" s="2" t="s">
        <v>73</v>
      </c>
      <c r="B93" s="3">
        <f>AD7</f>
        <v>0</v>
      </c>
      <c r="C93" s="3">
        <f t="shared" ref="C93:G93" si="44">AE7</f>
        <v>0</v>
      </c>
      <c r="D93" s="3">
        <f t="shared" si="44"/>
        <v>0</v>
      </c>
      <c r="E93" s="3">
        <f t="shared" si="44"/>
        <v>0</v>
      </c>
      <c r="F93" s="3">
        <f t="shared" si="44"/>
        <v>0</v>
      </c>
      <c r="G93" s="3">
        <f t="shared" si="44"/>
        <v>0</v>
      </c>
      <c r="H93" s="3"/>
    </row>
    <row r="94" spans="1:10">
      <c r="A94" s="6" t="s">
        <v>75</v>
      </c>
      <c r="B94" s="7">
        <f>AK7</f>
        <v>0</v>
      </c>
      <c r="C94" s="7">
        <f t="shared" ref="C94:G94" si="45">AL7</f>
        <v>0</v>
      </c>
      <c r="D94" s="7">
        <f t="shared" si="45"/>
        <v>0</v>
      </c>
      <c r="E94" s="7">
        <f t="shared" si="45"/>
        <v>0</v>
      </c>
      <c r="F94" s="7">
        <f t="shared" si="45"/>
        <v>0</v>
      </c>
      <c r="G94" s="7">
        <f t="shared" si="45"/>
        <v>0</v>
      </c>
      <c r="H94" s="7"/>
      <c r="I94" s="8"/>
      <c r="J94" s="8"/>
    </row>
    <row r="95" spans="1:10">
      <c r="A95" s="2" t="s">
        <v>76</v>
      </c>
      <c r="B95" s="3">
        <f>AR7</f>
        <v>0</v>
      </c>
      <c r="C95" s="3">
        <f t="shared" ref="C95:G95" si="46">AS7</f>
        <v>0</v>
      </c>
      <c r="D95" s="3">
        <f t="shared" si="46"/>
        <v>0</v>
      </c>
      <c r="E95" s="3">
        <f t="shared" si="46"/>
        <v>0</v>
      </c>
      <c r="F95" s="3">
        <f t="shared" si="46"/>
        <v>0</v>
      </c>
      <c r="G95" s="3">
        <f t="shared" si="46"/>
        <v>0</v>
      </c>
      <c r="H95" s="3"/>
      <c r="I95" s="2"/>
      <c r="J95" s="3"/>
    </row>
    <row r="96" spans="1:10">
      <c r="A96" s="2" t="s">
        <v>77</v>
      </c>
      <c r="B96" s="3">
        <f>AY7</f>
        <v>0</v>
      </c>
      <c r="C96" s="3">
        <f t="shared" ref="C96:G96" si="47">AZ7</f>
        <v>0</v>
      </c>
      <c r="D96" s="3">
        <f t="shared" si="47"/>
        <v>0</v>
      </c>
      <c r="E96" s="3">
        <f t="shared" si="47"/>
        <v>0</v>
      </c>
      <c r="F96" s="3">
        <f t="shared" si="47"/>
        <v>0</v>
      </c>
      <c r="G96" s="3">
        <f t="shared" si="47"/>
        <v>0</v>
      </c>
      <c r="H96" s="3"/>
      <c r="I96" s="2"/>
      <c r="J96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CA958-0037-3441-A6FB-259B35B34C6C}">
  <dimension ref="A1:AW96"/>
  <sheetViews>
    <sheetView tabSelected="1" topLeftCell="A16" zoomScale="110" zoomScaleNormal="110" workbookViewId="0">
      <selection activeCell="U29" sqref="U29"/>
    </sheetView>
  </sheetViews>
  <sheetFormatPr baseColWidth="10" defaultRowHeight="16"/>
  <cols>
    <col min="2" max="2" width="12.1640625" customWidth="1"/>
    <col min="8" max="8" width="14.6640625" customWidth="1"/>
    <col min="14" max="14" width="15" customWidth="1"/>
    <col min="15" max="15" width="26.1640625" customWidth="1"/>
    <col min="16" max="16" width="16.83203125" bestFit="1" customWidth="1"/>
    <col min="18" max="18" width="13" customWidth="1"/>
    <col min="19" max="19" width="13.1640625" customWidth="1"/>
    <col min="25" max="25" width="11.33203125" customWidth="1"/>
    <col min="26" max="26" width="18.5" customWidth="1"/>
    <col min="27" max="27" width="13.6640625" customWidth="1"/>
    <col min="31" max="31" width="13" customWidth="1"/>
    <col min="32" max="32" width="15.6640625" customWidth="1"/>
    <col min="38" max="38" width="19.1640625" customWidth="1"/>
    <col min="44" max="44" width="14" customWidth="1"/>
  </cols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9</v>
      </c>
      <c r="J1" t="s">
        <v>10</v>
      </c>
      <c r="K1" t="s">
        <v>11</v>
      </c>
      <c r="L1" t="s">
        <v>12</v>
      </c>
      <c r="M1" t="s">
        <v>13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29</v>
      </c>
      <c r="AA1" t="s">
        <v>30</v>
      </c>
      <c r="AB1" t="s">
        <v>31</v>
      </c>
      <c r="AC1" t="s">
        <v>32</v>
      </c>
      <c r="AD1" t="s">
        <v>33</v>
      </c>
      <c r="AE1" t="s">
        <v>34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50</v>
      </c>
      <c r="AS1" t="s">
        <v>51</v>
      </c>
      <c r="AT1" t="s">
        <v>52</v>
      </c>
      <c r="AU1" t="s">
        <v>53</v>
      </c>
      <c r="AV1" t="s">
        <v>54</v>
      </c>
      <c r="AW1" t="s">
        <v>55</v>
      </c>
    </row>
    <row r="2" spans="1:49">
      <c r="A2" t="s">
        <v>57</v>
      </c>
      <c r="B2">
        <v>0.35556759843976099</v>
      </c>
      <c r="C2">
        <v>11.926354866385701</v>
      </c>
      <c r="D2">
        <v>0.14391043320472</v>
      </c>
      <c r="E2">
        <v>0.884564523875221</v>
      </c>
      <c r="F2">
        <v>2.0900771320468699E-2</v>
      </c>
      <c r="G2">
        <v>9.7102076233160195E-2</v>
      </c>
      <c r="H2">
        <v>0.710401326433998</v>
      </c>
      <c r="I2">
        <v>0.63140693450585905</v>
      </c>
      <c r="J2">
        <v>0.400924959174421</v>
      </c>
      <c r="K2">
        <v>8.4214961660119797E-2</v>
      </c>
      <c r="L2">
        <v>2.22178957852842E-2</v>
      </c>
      <c r="M2">
        <v>4.3249422186362997E-2</v>
      </c>
      <c r="N2">
        <v>0.26610278690623101</v>
      </c>
      <c r="O2">
        <v>0.19064508499489199</v>
      </c>
      <c r="P2">
        <v>0.13100928444695001</v>
      </c>
      <c r="Q2">
        <v>2.85161630570487E-2</v>
      </c>
      <c r="R2">
        <v>2.15842885435708E-2</v>
      </c>
      <c r="S2">
        <v>3.6662768493288901E-2</v>
      </c>
      <c r="T2">
        <v>9.27073856161853E-2</v>
      </c>
      <c r="U2">
        <v>2.0997733950251201</v>
      </c>
      <c r="V2">
        <v>3.4570167508557598E-2</v>
      </c>
      <c r="W2">
        <v>0.248592901079083</v>
      </c>
      <c r="X2">
        <v>2.0216449832393499E-2</v>
      </c>
      <c r="Y2">
        <v>4.3959854612462101E-2</v>
      </c>
      <c r="Z2">
        <v>7.4196343005053497E-2</v>
      </c>
      <c r="AA2">
        <v>3.0838018760145198</v>
      </c>
      <c r="AB2">
        <v>2.8959831902687101E-2</v>
      </c>
      <c r="AC2">
        <v>0.34190579151252398</v>
      </c>
      <c r="AD2">
        <v>1.99565469370507E-2</v>
      </c>
      <c r="AE2">
        <v>4.60317902194003E-2</v>
      </c>
      <c r="AF2">
        <v>9.9259952042842103E-2</v>
      </c>
      <c r="AG2">
        <v>1.5556005776244901</v>
      </c>
      <c r="AH2">
        <v>3.6696635646863297E-2</v>
      </c>
      <c r="AI2">
        <v>0.19347378715826</v>
      </c>
      <c r="AJ2">
        <v>2.0034985688272E-2</v>
      </c>
      <c r="AK2">
        <v>4.1705771460033798E-2</v>
      </c>
      <c r="AL2">
        <v>7.0209541752126001E-2</v>
      </c>
      <c r="AM2">
        <v>4.0314746367809304</v>
      </c>
      <c r="AN2">
        <v>2.8510223172830199E-2</v>
      </c>
      <c r="AO2">
        <v>0.42297763807692601</v>
      </c>
      <c r="AP2">
        <v>87.584594730831</v>
      </c>
      <c r="AQ2">
        <v>62.234981444303898</v>
      </c>
      <c r="AR2">
        <v>9.2707389429711004E-2</v>
      </c>
      <c r="AS2">
        <v>2.0999802887730299</v>
      </c>
      <c r="AT2">
        <v>3.4572200249715197E-2</v>
      </c>
      <c r="AU2">
        <v>0.24861369229553101</v>
      </c>
      <c r="AV2">
        <v>2.02164483686103E-2</v>
      </c>
      <c r="AW2">
        <v>4.39600324037785E-2</v>
      </c>
    </row>
    <row r="3" spans="1:49">
      <c r="A3" t="s">
        <v>80</v>
      </c>
      <c r="B3">
        <v>105.39038365483</v>
      </c>
      <c r="C3">
        <v>3.0017599434927602</v>
      </c>
      <c r="D3">
        <v>2.9897699514610698</v>
      </c>
      <c r="E3">
        <v>2.39608688215566</v>
      </c>
      <c r="F3">
        <v>4.8696360528460101</v>
      </c>
      <c r="G3">
        <v>20.9168787174745</v>
      </c>
      <c r="H3">
        <v>39.6589719718867</v>
      </c>
      <c r="I3">
        <v>32.742379252241697</v>
      </c>
      <c r="J3">
        <v>2.1662073836175502</v>
      </c>
      <c r="K3">
        <v>5.7445849750496203</v>
      </c>
      <c r="L3">
        <v>1.4540373565214</v>
      </c>
      <c r="M3">
        <v>0.465201076662279</v>
      </c>
      <c r="N3">
        <v>2.99364217486989</v>
      </c>
      <c r="O3">
        <v>100.470593093576</v>
      </c>
      <c r="P3">
        <v>1.7769737652348499E-2</v>
      </c>
      <c r="Q3">
        <v>0.279402107344569</v>
      </c>
      <c r="R3">
        <v>2.2213554789460801</v>
      </c>
      <c r="S3">
        <v>0.94369275589324197</v>
      </c>
      <c r="T3">
        <v>5.7539941493835798</v>
      </c>
      <c r="U3">
        <v>241.17577758334099</v>
      </c>
      <c r="V3">
        <v>0.61255217873094003</v>
      </c>
      <c r="W3">
        <v>0.30773915606226498</v>
      </c>
      <c r="X3">
        <v>2.5222555780856002</v>
      </c>
      <c r="Y3">
        <v>1.7687650221157101</v>
      </c>
      <c r="Z3">
        <v>5.23036417339386</v>
      </c>
      <c r="AA3">
        <v>298.876321247774</v>
      </c>
      <c r="AB3">
        <v>0.35386152452861602</v>
      </c>
      <c r="AC3">
        <v>0.31108271596848402</v>
      </c>
      <c r="AD3">
        <v>2.5497556391431901</v>
      </c>
      <c r="AE3">
        <v>2.0219819032742401</v>
      </c>
      <c r="AF3">
        <v>3.1700323280999099</v>
      </c>
      <c r="AG3">
        <v>166.79463143532499</v>
      </c>
      <c r="AH3">
        <v>6.6475647890145003E-3</v>
      </c>
      <c r="AI3">
        <v>0.29942140582104199</v>
      </c>
      <c r="AJ3">
        <v>2.3212417093626501</v>
      </c>
      <c r="AK3">
        <v>1.3057288292279301</v>
      </c>
      <c r="AL3">
        <v>5.6194207483240302</v>
      </c>
      <c r="AM3">
        <v>286.17635498387801</v>
      </c>
      <c r="AN3">
        <v>0.51890214210110797</v>
      </c>
      <c r="AO3">
        <v>0.310408110983657</v>
      </c>
      <c r="AP3">
        <v>717.45321999950102</v>
      </c>
      <c r="AQ3">
        <v>499.28804341724702</v>
      </c>
      <c r="AR3">
        <v>3.7121684819413598</v>
      </c>
      <c r="AS3">
        <v>1442058647304510</v>
      </c>
      <c r="AT3">
        <v>0.66860143247403403</v>
      </c>
      <c r="AU3" t="s">
        <v>79</v>
      </c>
      <c r="AV3">
        <v>2.52374180254971</v>
      </c>
      <c r="AW3">
        <v>1004251857427940</v>
      </c>
    </row>
    <row r="5" spans="1:49">
      <c r="T5" s="1"/>
    </row>
    <row r="6" spans="1:49">
      <c r="T6" s="1"/>
    </row>
    <row r="7" spans="1:49">
      <c r="T7" s="1"/>
    </row>
    <row r="9" spans="1:49">
      <c r="N9" t="s">
        <v>82</v>
      </c>
      <c r="O9" t="s">
        <v>83</v>
      </c>
    </row>
    <row r="10" spans="1:49">
      <c r="N10" t="s">
        <v>84</v>
      </c>
      <c r="O10" s="11" t="s">
        <v>81</v>
      </c>
    </row>
    <row r="13" spans="1:49">
      <c r="B13" s="2" t="str">
        <f>A2</f>
        <v>transit_stations_percent_change_from_baseline</v>
      </c>
    </row>
    <row r="15" spans="1:49">
      <c r="B15" s="2" t="s">
        <v>59</v>
      </c>
      <c r="C15" s="2"/>
      <c r="D15" s="2" t="s">
        <v>60</v>
      </c>
      <c r="E15" s="2"/>
      <c r="F15" s="2" t="s">
        <v>61</v>
      </c>
      <c r="I15" s="2"/>
      <c r="J15" s="2"/>
      <c r="K15" s="2"/>
      <c r="L15" s="2"/>
      <c r="M15" s="2"/>
      <c r="N15" s="2"/>
    </row>
    <row r="16" spans="1:49">
      <c r="A16" s="2" t="s">
        <v>64</v>
      </c>
      <c r="B16" s="2" t="s">
        <v>65</v>
      </c>
      <c r="C16" s="2" t="s">
        <v>66</v>
      </c>
      <c r="D16" s="2" t="s">
        <v>65</v>
      </c>
      <c r="E16" s="2" t="s">
        <v>66</v>
      </c>
      <c r="F16" s="2" t="s">
        <v>65</v>
      </c>
      <c r="G16" s="2" t="s">
        <v>66</v>
      </c>
      <c r="H16" s="2"/>
      <c r="I16" s="2"/>
    </row>
    <row r="17" spans="1:20">
      <c r="A17" s="2" t="s">
        <v>68</v>
      </c>
      <c r="B17" s="3">
        <f>B2</f>
        <v>0.35556759843976099</v>
      </c>
      <c r="C17" s="3">
        <f t="shared" ref="C17:G17" si="0">C2</f>
        <v>11.926354866385701</v>
      </c>
      <c r="D17" s="3">
        <f t="shared" si="0"/>
        <v>0.14391043320472</v>
      </c>
      <c r="E17" s="3">
        <f t="shared" si="0"/>
        <v>0.884564523875221</v>
      </c>
      <c r="F17" s="3">
        <f t="shared" si="0"/>
        <v>2.0900771320468699E-2</v>
      </c>
      <c r="G17" s="3">
        <f t="shared" si="0"/>
        <v>9.7102076233160195E-2</v>
      </c>
      <c r="H17" s="3"/>
      <c r="I17" s="2"/>
      <c r="J17" s="3"/>
      <c r="K17" s="3"/>
      <c r="L17" s="2"/>
      <c r="M17" s="3"/>
      <c r="N17" s="3"/>
      <c r="O17" s="3"/>
    </row>
    <row r="18" spans="1:20">
      <c r="A18" s="2" t="s">
        <v>70</v>
      </c>
      <c r="B18" s="3">
        <f>H2</f>
        <v>0.710401326433998</v>
      </c>
      <c r="C18" s="3">
        <f t="shared" ref="C18:G18" si="1">I2</f>
        <v>0.63140693450585905</v>
      </c>
      <c r="D18" s="3">
        <f t="shared" si="1"/>
        <v>0.400924959174421</v>
      </c>
      <c r="E18" s="3">
        <f t="shared" si="1"/>
        <v>8.4214961660119797E-2</v>
      </c>
      <c r="F18" s="3">
        <f t="shared" si="1"/>
        <v>2.22178957852842E-2</v>
      </c>
      <c r="G18" s="3">
        <f t="shared" si="1"/>
        <v>4.3249422186362997E-2</v>
      </c>
      <c r="H18" s="3"/>
      <c r="I18" s="2"/>
      <c r="J18" s="3"/>
      <c r="K18" s="3"/>
      <c r="L18" s="3"/>
      <c r="M18" s="3"/>
      <c r="N18" s="3"/>
      <c r="O18" s="3"/>
    </row>
    <row r="19" spans="1:20">
      <c r="A19" s="4" t="s">
        <v>71</v>
      </c>
      <c r="B19" s="5">
        <f>N2</f>
        <v>0.26610278690623101</v>
      </c>
      <c r="C19" s="5">
        <f>O2</f>
        <v>0.19064508499489199</v>
      </c>
      <c r="D19" s="5">
        <f t="shared" ref="D19:G19" si="2">P2</f>
        <v>0.13100928444695001</v>
      </c>
      <c r="E19" s="5">
        <f t="shared" si="2"/>
        <v>2.85161630570487E-2</v>
      </c>
      <c r="F19" s="5">
        <f t="shared" si="2"/>
        <v>2.15842885435708E-2</v>
      </c>
      <c r="G19" s="5">
        <f t="shared" si="2"/>
        <v>3.6662768493288901E-2</v>
      </c>
      <c r="H19" s="5"/>
      <c r="I19" s="2"/>
      <c r="J19" s="3"/>
      <c r="K19" s="3"/>
      <c r="L19" s="3"/>
      <c r="M19" s="3"/>
      <c r="N19" s="3"/>
      <c r="O19" s="3"/>
    </row>
    <row r="20" spans="1:20">
      <c r="A20" s="6" t="s">
        <v>72</v>
      </c>
      <c r="B20" s="7">
        <f>T2</f>
        <v>9.27073856161853E-2</v>
      </c>
      <c r="C20" s="7">
        <f t="shared" ref="C20:F20" si="3">U2</f>
        <v>2.0997733950251201</v>
      </c>
      <c r="D20" s="7">
        <f t="shared" si="3"/>
        <v>3.4570167508557598E-2</v>
      </c>
      <c r="E20" s="7">
        <f t="shared" si="3"/>
        <v>0.248592901079083</v>
      </c>
      <c r="F20" s="7">
        <f t="shared" si="3"/>
        <v>2.0216449832393499E-2</v>
      </c>
      <c r="G20" s="7">
        <f>Y2</f>
        <v>4.3959854612462101E-2</v>
      </c>
      <c r="H20" s="7"/>
      <c r="I20" s="8"/>
      <c r="J20" s="8"/>
      <c r="K20" s="3"/>
      <c r="L20" s="3"/>
      <c r="M20" s="3"/>
      <c r="N20" s="3"/>
      <c r="O20" s="3"/>
    </row>
    <row r="21" spans="1:20">
      <c r="A21" s="2" t="s">
        <v>73</v>
      </c>
      <c r="B21" s="3">
        <f>Z2</f>
        <v>7.4196343005053497E-2</v>
      </c>
      <c r="C21" s="3">
        <f t="shared" ref="C21:G21" si="4">AA2</f>
        <v>3.0838018760145198</v>
      </c>
      <c r="D21" s="3">
        <f t="shared" si="4"/>
        <v>2.8959831902687101E-2</v>
      </c>
      <c r="E21" s="3">
        <f t="shared" si="4"/>
        <v>0.34190579151252398</v>
      </c>
      <c r="F21" s="3">
        <f>AD2</f>
        <v>1.99565469370507E-2</v>
      </c>
      <c r="G21" s="3">
        <f t="shared" si="4"/>
        <v>4.60317902194003E-2</v>
      </c>
      <c r="H21" s="3"/>
      <c r="K21" s="3"/>
      <c r="L21" s="3"/>
      <c r="M21" s="3"/>
      <c r="N21" s="3" t="s">
        <v>64</v>
      </c>
      <c r="O21" t="s">
        <v>59</v>
      </c>
      <c r="P21" s="3" t="s">
        <v>60</v>
      </c>
      <c r="Q21" t="s">
        <v>61</v>
      </c>
      <c r="R21" s="3" t="s">
        <v>85</v>
      </c>
      <c r="S21" t="s">
        <v>86</v>
      </c>
      <c r="T21" s="3" t="s">
        <v>87</v>
      </c>
    </row>
    <row r="22" spans="1:20">
      <c r="A22" s="6" t="s">
        <v>75</v>
      </c>
      <c r="B22" s="7">
        <f>AF2</f>
        <v>9.9259952042842103E-2</v>
      </c>
      <c r="C22" s="7">
        <f t="shared" ref="C22:G22" si="5">AG2</f>
        <v>1.5556005776244901</v>
      </c>
      <c r="D22" s="7">
        <f t="shared" si="5"/>
        <v>3.6696635646863297E-2</v>
      </c>
      <c r="E22" s="7">
        <f t="shared" si="5"/>
        <v>0.19347378715826</v>
      </c>
      <c r="F22" s="7">
        <f t="shared" si="5"/>
        <v>2.0034985688272E-2</v>
      </c>
      <c r="G22" s="7">
        <f t="shared" si="5"/>
        <v>4.1705771460033798E-2</v>
      </c>
      <c r="H22" s="7"/>
      <c r="I22" s="8"/>
      <c r="J22" s="8"/>
      <c r="K22" s="3"/>
      <c r="L22" s="3"/>
      <c r="M22" s="3"/>
      <c r="N22" s="3" t="s">
        <v>71</v>
      </c>
      <c r="O22" s="3">
        <f>C19</f>
        <v>0.19064508499489199</v>
      </c>
      <c r="P22" s="3">
        <f>E19</f>
        <v>2.85161630570487E-2</v>
      </c>
      <c r="Q22" s="3">
        <f>G19</f>
        <v>3.6662768493288901E-2</v>
      </c>
      <c r="R22">
        <v>0.41645825076425902</v>
      </c>
      <c r="S22">
        <v>0.37411624096856799</v>
      </c>
      <c r="T22" s="3">
        <f>(R22-S22)^2</f>
        <v>1.7928457935383949E-3</v>
      </c>
    </row>
    <row r="23" spans="1:20">
      <c r="A23" s="2" t="s">
        <v>76</v>
      </c>
      <c r="B23" s="3">
        <f>AL2</f>
        <v>7.0209541752126001E-2</v>
      </c>
      <c r="C23" s="3">
        <f t="shared" ref="C23:G23" si="6">AM2</f>
        <v>4.0314746367809304</v>
      </c>
      <c r="D23" s="3">
        <f t="shared" si="6"/>
        <v>2.8510223172830199E-2</v>
      </c>
      <c r="E23" s="3">
        <f t="shared" si="6"/>
        <v>0.42297763807692601</v>
      </c>
      <c r="F23" s="3">
        <f t="shared" si="6"/>
        <v>87.584594730831</v>
      </c>
      <c r="G23" s="3">
        <f t="shared" si="6"/>
        <v>62.234981444303898</v>
      </c>
      <c r="H23" s="3"/>
      <c r="I23" s="2"/>
      <c r="J23" s="3"/>
      <c r="K23" s="3"/>
      <c r="L23" s="3"/>
      <c r="N23" s="3" t="s">
        <v>78</v>
      </c>
      <c r="O23" s="3">
        <f>C20</f>
        <v>2.0997733950251201</v>
      </c>
      <c r="P23" s="3">
        <f>E20</f>
        <v>0.248592901079083</v>
      </c>
      <c r="Q23" s="3">
        <f>G20</f>
        <v>4.3959854612462101E-2</v>
      </c>
      <c r="R23">
        <v>0.41645825076425902</v>
      </c>
      <c r="S23">
        <v>0.26157600926793273</v>
      </c>
      <c r="T23" s="3">
        <f t="shared" ref="T23:T25" si="7">(R23-S23)^2</f>
        <v>2.3988508730926335E-2</v>
      </c>
    </row>
    <row r="24" spans="1:20">
      <c r="A24" s="2" t="s">
        <v>77</v>
      </c>
      <c r="B24" s="3">
        <f>AR2</f>
        <v>9.2707389429711004E-2</v>
      </c>
      <c r="C24" s="3">
        <f t="shared" ref="C24:G24" si="8">AS2</f>
        <v>2.0999802887730299</v>
      </c>
      <c r="D24" s="3">
        <f t="shared" si="8"/>
        <v>3.4572200249715197E-2</v>
      </c>
      <c r="E24" s="3">
        <f t="shared" si="8"/>
        <v>0.24861369229553101</v>
      </c>
      <c r="F24" s="3">
        <f t="shared" si="8"/>
        <v>2.02164483686103E-2</v>
      </c>
      <c r="G24" s="3">
        <f t="shared" si="8"/>
        <v>4.39600324037785E-2</v>
      </c>
      <c r="H24" s="3"/>
      <c r="I24" s="2"/>
      <c r="J24" s="3"/>
      <c r="K24" s="3"/>
      <c r="L24" s="3"/>
      <c r="M24" s="3"/>
      <c r="N24" t="s">
        <v>75</v>
      </c>
      <c r="O24" s="3">
        <f>C22</f>
        <v>1.5556005776244901</v>
      </c>
      <c r="P24" s="3">
        <f>E22</f>
        <v>0.19347378715826</v>
      </c>
      <c r="Q24" s="3">
        <f>G22</f>
        <v>4.1705771460033798E-2</v>
      </c>
      <c r="R24">
        <v>0.41645825076425902</v>
      </c>
      <c r="S24">
        <v>0.28075009362600406</v>
      </c>
      <c r="T24" s="3">
        <f t="shared" si="7"/>
        <v>1.8416703913861299E-2</v>
      </c>
    </row>
    <row r="25" spans="1:20">
      <c r="N25" s="3" t="s">
        <v>73</v>
      </c>
      <c r="O25" s="3">
        <f>C21</f>
        <v>3.0838018760145198</v>
      </c>
      <c r="P25" s="3">
        <f>E21</f>
        <v>0.34190579151252398</v>
      </c>
      <c r="Q25" s="3">
        <f>G21</f>
        <v>4.60317902194003E-2</v>
      </c>
      <c r="R25">
        <v>0.41645825076425902</v>
      </c>
      <c r="S25">
        <v>0.23977166135498851</v>
      </c>
      <c r="T25" s="3">
        <f t="shared" si="7"/>
        <v>3.1218150877080141E-2</v>
      </c>
    </row>
    <row r="28" spans="1:20">
      <c r="B28" s="2" t="str">
        <f>A3</f>
        <v>residential_percent_change_from_baseline</v>
      </c>
    </row>
    <row r="30" spans="1:20">
      <c r="B30" s="2" t="s">
        <v>59</v>
      </c>
      <c r="C30" s="2"/>
      <c r="D30" s="2" t="s">
        <v>60</v>
      </c>
      <c r="E30" s="2"/>
      <c r="F30" s="2" t="s">
        <v>61</v>
      </c>
      <c r="I30" s="2"/>
      <c r="J30" s="2"/>
    </row>
    <row r="31" spans="1:20">
      <c r="A31" s="2" t="s">
        <v>64</v>
      </c>
      <c r="B31" s="2" t="s">
        <v>65</v>
      </c>
      <c r="C31" s="2" t="s">
        <v>66</v>
      </c>
      <c r="D31" s="2" t="s">
        <v>65</v>
      </c>
      <c r="E31" s="2" t="s">
        <v>66</v>
      </c>
      <c r="F31" s="2" t="s">
        <v>65</v>
      </c>
      <c r="G31" s="2" t="s">
        <v>66</v>
      </c>
      <c r="H31" s="2"/>
      <c r="I31" s="2"/>
      <c r="N31" s="3"/>
      <c r="P31" s="3"/>
    </row>
    <row r="32" spans="1:20">
      <c r="A32" s="2" t="s">
        <v>68</v>
      </c>
      <c r="B32" s="3">
        <f>B3</f>
        <v>105.39038365483</v>
      </c>
      <c r="C32" s="3">
        <f t="shared" ref="C32:G32" si="9">C3</f>
        <v>3.0017599434927602</v>
      </c>
      <c r="D32" s="3">
        <f t="shared" si="9"/>
        <v>2.9897699514610698</v>
      </c>
      <c r="E32" s="3">
        <f t="shared" si="9"/>
        <v>2.39608688215566</v>
      </c>
      <c r="F32" s="3">
        <f t="shared" si="9"/>
        <v>4.8696360528460101</v>
      </c>
      <c r="G32" s="3">
        <f t="shared" si="9"/>
        <v>20.9168787174745</v>
      </c>
      <c r="H32" s="3"/>
      <c r="I32" s="2"/>
      <c r="J32" s="3"/>
      <c r="N32" s="3"/>
      <c r="O32" s="3"/>
      <c r="P32" s="9"/>
      <c r="Q32" s="10"/>
    </row>
    <row r="33" spans="1:20">
      <c r="A33" s="2" t="s">
        <v>70</v>
      </c>
      <c r="B33" s="3">
        <f>H3</f>
        <v>39.6589719718867</v>
      </c>
      <c r="C33" s="3">
        <f t="shared" ref="C33:G33" si="10">I3</f>
        <v>32.742379252241697</v>
      </c>
      <c r="D33" s="3">
        <f t="shared" si="10"/>
        <v>2.1662073836175502</v>
      </c>
      <c r="E33" s="3">
        <f t="shared" si="10"/>
        <v>5.7445849750496203</v>
      </c>
      <c r="F33" s="3">
        <f t="shared" si="10"/>
        <v>1.4540373565214</v>
      </c>
      <c r="G33" s="3">
        <f t="shared" si="10"/>
        <v>0.465201076662279</v>
      </c>
      <c r="H33" s="3"/>
      <c r="I33" s="2"/>
      <c r="J33" s="3"/>
      <c r="N33" s="3"/>
      <c r="O33" s="3"/>
      <c r="P33" s="9"/>
      <c r="Q33" s="10"/>
    </row>
    <row r="34" spans="1:20">
      <c r="A34" s="4" t="s">
        <v>71</v>
      </c>
      <c r="B34" s="5">
        <f>N3</f>
        <v>2.99364217486989</v>
      </c>
      <c r="C34" s="5">
        <f>O3</f>
        <v>100.470593093576</v>
      </c>
      <c r="D34" s="5">
        <f t="shared" ref="D34:F34" si="11">P3</f>
        <v>1.7769737652348499E-2</v>
      </c>
      <c r="E34" s="5">
        <f t="shared" si="11"/>
        <v>0.279402107344569</v>
      </c>
      <c r="F34" s="5">
        <f t="shared" si="11"/>
        <v>2.2213554789460801</v>
      </c>
      <c r="G34" s="5">
        <f>S3</f>
        <v>0.94369275589324197</v>
      </c>
      <c r="H34" s="5"/>
      <c r="I34" s="2"/>
      <c r="J34" s="3"/>
      <c r="N34" s="3"/>
      <c r="P34" s="3"/>
    </row>
    <row r="35" spans="1:20">
      <c r="A35" s="6" t="s">
        <v>72</v>
      </c>
      <c r="B35" s="7">
        <f>T3</f>
        <v>5.7539941493835798</v>
      </c>
      <c r="C35" s="7">
        <f t="shared" ref="C35:G35" si="12">U3</f>
        <v>241.17577758334099</v>
      </c>
      <c r="D35" s="7">
        <f t="shared" si="12"/>
        <v>0.61255217873094003</v>
      </c>
      <c r="E35" s="7">
        <f t="shared" si="12"/>
        <v>0.30773915606226498</v>
      </c>
      <c r="F35" s="7">
        <f t="shared" si="12"/>
        <v>2.5222555780856002</v>
      </c>
      <c r="G35" s="7">
        <f t="shared" si="12"/>
        <v>1.7687650221157101</v>
      </c>
      <c r="H35" s="7"/>
      <c r="I35" s="8"/>
      <c r="J35" s="8"/>
      <c r="N35" s="3"/>
      <c r="O35" s="3"/>
      <c r="P35" s="9"/>
      <c r="Q35" s="10"/>
    </row>
    <row r="36" spans="1:20">
      <c r="A36" s="2" t="s">
        <v>73</v>
      </c>
      <c r="B36" s="3">
        <f>Z3</f>
        <v>5.23036417339386</v>
      </c>
      <c r="C36" s="3">
        <f t="shared" ref="C36:G36" si="13">AA3</f>
        <v>298.876321247774</v>
      </c>
      <c r="D36" s="3">
        <f t="shared" si="13"/>
        <v>0.35386152452861602</v>
      </c>
      <c r="E36" s="3">
        <f t="shared" si="13"/>
        <v>0.31108271596848402</v>
      </c>
      <c r="F36" s="3">
        <f t="shared" si="13"/>
        <v>2.5497556391431901</v>
      </c>
      <c r="G36" s="3">
        <f t="shared" si="13"/>
        <v>2.0219819032742401</v>
      </c>
      <c r="H36" s="3"/>
      <c r="N36" s="3" t="s">
        <v>64</v>
      </c>
      <c r="O36" t="s">
        <v>59</v>
      </c>
      <c r="P36" s="3" t="s">
        <v>60</v>
      </c>
      <c r="Q36" t="s">
        <v>61</v>
      </c>
      <c r="R36" s="3" t="s">
        <v>85</v>
      </c>
      <c r="S36" t="s">
        <v>86</v>
      </c>
      <c r="T36" s="3" t="s">
        <v>87</v>
      </c>
    </row>
    <row r="37" spans="1:20">
      <c r="A37" s="6" t="s">
        <v>75</v>
      </c>
      <c r="B37" s="7">
        <f>AF3</f>
        <v>3.1700323280999099</v>
      </c>
      <c r="C37" s="7">
        <f t="shared" ref="C37:G37" si="14">AG3</f>
        <v>166.79463143532499</v>
      </c>
      <c r="D37" s="7">
        <f t="shared" si="14"/>
        <v>6.6475647890145003E-3</v>
      </c>
      <c r="E37" s="7">
        <f t="shared" si="14"/>
        <v>0.29942140582104199</v>
      </c>
      <c r="F37" s="7">
        <f t="shared" si="14"/>
        <v>2.3212417093626501</v>
      </c>
      <c r="G37" s="7">
        <f t="shared" si="14"/>
        <v>1.3057288292279301</v>
      </c>
      <c r="H37" s="7"/>
      <c r="I37" s="8"/>
      <c r="J37" s="8"/>
      <c r="N37" s="3" t="s">
        <v>71</v>
      </c>
      <c r="O37" s="12">
        <f>C34</f>
        <v>100.470593093576</v>
      </c>
      <c r="P37" s="3">
        <f>E34</f>
        <v>0.279402107344569</v>
      </c>
      <c r="Q37" s="3">
        <f>G34</f>
        <v>0.94369275589324197</v>
      </c>
      <c r="R37">
        <v>0.23886340038644735</v>
      </c>
      <c r="S37">
        <v>9.3872778282757512E-3</v>
      </c>
      <c r="T37" s="3">
        <f>(R37-S37)^2</f>
        <v>5.2659290824332988E-2</v>
      </c>
    </row>
    <row r="38" spans="1:20">
      <c r="A38" s="2" t="s">
        <v>76</v>
      </c>
      <c r="B38" s="3">
        <f>AL3</f>
        <v>5.6194207483240302</v>
      </c>
      <c r="C38" s="3">
        <f t="shared" ref="C38:G38" si="15">AM3</f>
        <v>286.17635498387801</v>
      </c>
      <c r="D38" s="3">
        <f t="shared" si="15"/>
        <v>0.51890214210110797</v>
      </c>
      <c r="E38" s="3">
        <f t="shared" si="15"/>
        <v>0.310408110983657</v>
      </c>
      <c r="F38" s="3">
        <f t="shared" si="15"/>
        <v>717.45321999950102</v>
      </c>
      <c r="G38" s="3">
        <f t="shared" si="15"/>
        <v>499.28804341724702</v>
      </c>
      <c r="H38" s="3"/>
      <c r="I38" s="2"/>
      <c r="J38" s="3"/>
      <c r="N38" s="3" t="s">
        <v>78</v>
      </c>
      <c r="O38" s="12">
        <f>C35</f>
        <v>241.17577758334099</v>
      </c>
      <c r="P38" s="3">
        <f>E35</f>
        <v>0.30773915606226498</v>
      </c>
      <c r="Q38" s="3">
        <f>G35</f>
        <v>1.7687650221157101</v>
      </c>
      <c r="R38">
        <v>0.23886340038644735</v>
      </c>
      <c r="S38">
        <v>1.0693694467322991E-3</v>
      </c>
      <c r="T38" s="3">
        <f t="shared" ref="T38:T40" si="16">(R38-S38)^2</f>
        <v>5.6546001150558155E-2</v>
      </c>
    </row>
    <row r="39" spans="1:20">
      <c r="A39" s="2" t="s">
        <v>77</v>
      </c>
      <c r="B39" s="3">
        <f>AR3</f>
        <v>3.7121684819413598</v>
      </c>
      <c r="C39" s="3">
        <f t="shared" ref="C39:G39" si="17">AS3</f>
        <v>1442058647304510</v>
      </c>
      <c r="D39" s="3">
        <f t="shared" si="17"/>
        <v>0.66860143247403403</v>
      </c>
      <c r="E39" s="3" t="str">
        <f t="shared" si="17"/>
        <v>inf</v>
      </c>
      <c r="F39" s="3">
        <f t="shared" si="17"/>
        <v>2.52374180254971</v>
      </c>
      <c r="G39" s="3">
        <f t="shared" si="17"/>
        <v>1004251857427940</v>
      </c>
      <c r="H39" s="3"/>
      <c r="I39" s="2"/>
      <c r="J39" s="3"/>
      <c r="N39" t="s">
        <v>75</v>
      </c>
      <c r="O39" s="12">
        <f>C37</f>
        <v>166.79463143532499</v>
      </c>
      <c r="P39" s="3">
        <f>E37</f>
        <v>0.29942140582104199</v>
      </c>
      <c r="Q39" s="3">
        <f>G37</f>
        <v>1.3057288292279301</v>
      </c>
      <c r="R39">
        <v>0.23886340038644735</v>
      </c>
      <c r="S39">
        <v>3.0831183379160798E-3</v>
      </c>
      <c r="T39" s="3">
        <f t="shared" si="16"/>
        <v>5.5592341402884958E-2</v>
      </c>
    </row>
    <row r="40" spans="1:20">
      <c r="N40" s="3" t="s">
        <v>73</v>
      </c>
      <c r="O40" s="12">
        <f>C36</f>
        <v>298.876321247774</v>
      </c>
      <c r="P40" s="3">
        <f>E36</f>
        <v>0.31108271596848402</v>
      </c>
      <c r="Q40" s="3">
        <f>G36</f>
        <v>2.0219819032742401</v>
      </c>
      <c r="R40">
        <v>0.23886340038644735</v>
      </c>
      <c r="S40">
        <v>5.7642467687646338E-4</v>
      </c>
      <c r="T40" s="3">
        <f t="shared" si="16"/>
        <v>5.6780682792813626E-2</v>
      </c>
    </row>
    <row r="43" spans="1:20">
      <c r="B43" s="2" t="str">
        <f>A18</f>
        <v>DQQ</v>
      </c>
    </row>
    <row r="45" spans="1:20">
      <c r="B45" s="2" t="s">
        <v>59</v>
      </c>
      <c r="C45" s="2"/>
      <c r="D45" s="2" t="s">
        <v>60</v>
      </c>
      <c r="E45" s="2"/>
      <c r="F45" s="2" t="s">
        <v>61</v>
      </c>
      <c r="I45" s="2"/>
      <c r="J45" s="2"/>
    </row>
    <row r="46" spans="1:20">
      <c r="A46" s="2" t="s">
        <v>64</v>
      </c>
      <c r="B46" s="2" t="s">
        <v>65</v>
      </c>
      <c r="C46" s="2" t="s">
        <v>66</v>
      </c>
      <c r="D46" s="2" t="s">
        <v>65</v>
      </c>
      <c r="E46" s="2" t="s">
        <v>66</v>
      </c>
      <c r="F46" s="2" t="s">
        <v>65</v>
      </c>
      <c r="G46" s="2" t="s">
        <v>66</v>
      </c>
      <c r="H46" s="2"/>
      <c r="I46" s="2"/>
    </row>
    <row r="47" spans="1:20">
      <c r="A47" s="2" t="s">
        <v>68</v>
      </c>
      <c r="B47" s="3">
        <f>B4</f>
        <v>0</v>
      </c>
      <c r="C47" s="3">
        <f t="shared" ref="C47:G47" si="18">C4</f>
        <v>0</v>
      </c>
      <c r="D47" s="3">
        <f t="shared" si="18"/>
        <v>0</v>
      </c>
      <c r="E47" s="3">
        <f t="shared" si="18"/>
        <v>0</v>
      </c>
      <c r="F47" s="3">
        <f t="shared" si="18"/>
        <v>0</v>
      </c>
      <c r="G47" s="3">
        <f t="shared" si="18"/>
        <v>0</v>
      </c>
      <c r="H47" s="3"/>
      <c r="I47" s="2"/>
      <c r="J47" s="3"/>
    </row>
    <row r="48" spans="1:20">
      <c r="A48" s="2" t="s">
        <v>70</v>
      </c>
      <c r="B48" s="3">
        <f>H4</f>
        <v>0</v>
      </c>
      <c r="C48" s="3">
        <f t="shared" ref="C48:G48" si="19">I4</f>
        <v>0</v>
      </c>
      <c r="D48" s="3">
        <f t="shared" si="19"/>
        <v>0</v>
      </c>
      <c r="E48" s="3">
        <f t="shared" si="19"/>
        <v>0</v>
      </c>
      <c r="F48" s="3">
        <f t="shared" si="19"/>
        <v>0</v>
      </c>
      <c r="G48" s="3">
        <f t="shared" si="19"/>
        <v>0</v>
      </c>
      <c r="H48" s="3"/>
      <c r="I48" s="2"/>
      <c r="J48" s="3"/>
    </row>
    <row r="49" spans="1:17">
      <c r="A49" s="4" t="s">
        <v>71</v>
      </c>
      <c r="B49" s="5">
        <f>N4</f>
        <v>0</v>
      </c>
      <c r="C49" s="5">
        <f t="shared" ref="C49:G49" si="20">O4</f>
        <v>0</v>
      </c>
      <c r="D49" s="5">
        <f t="shared" si="20"/>
        <v>0</v>
      </c>
      <c r="E49" s="5">
        <f t="shared" si="20"/>
        <v>0</v>
      </c>
      <c r="F49" s="5">
        <f t="shared" si="20"/>
        <v>0</v>
      </c>
      <c r="G49" s="5">
        <f t="shared" si="20"/>
        <v>0</v>
      </c>
      <c r="H49" s="5"/>
      <c r="I49" s="2"/>
      <c r="J49" s="3"/>
    </row>
    <row r="50" spans="1:17">
      <c r="A50" s="6" t="s">
        <v>72</v>
      </c>
      <c r="B50" s="7">
        <f>T4</f>
        <v>0</v>
      </c>
      <c r="C50" s="7">
        <f t="shared" ref="C50:G50" si="21">U4</f>
        <v>0</v>
      </c>
      <c r="D50" s="7">
        <f t="shared" si="21"/>
        <v>0</v>
      </c>
      <c r="E50" s="7">
        <f t="shared" si="21"/>
        <v>0</v>
      </c>
      <c r="F50" s="7">
        <f t="shared" si="21"/>
        <v>0</v>
      </c>
      <c r="G50" s="7">
        <f t="shared" si="21"/>
        <v>0</v>
      </c>
      <c r="H50" s="7"/>
      <c r="I50" s="8"/>
      <c r="J50" s="8"/>
    </row>
    <row r="51" spans="1:17">
      <c r="A51" s="2" t="s">
        <v>73</v>
      </c>
      <c r="B51" s="3">
        <f>Z4</f>
        <v>0</v>
      </c>
      <c r="C51" s="3">
        <f t="shared" ref="C51:G51" si="22">AA4</f>
        <v>0</v>
      </c>
      <c r="D51" s="3">
        <f t="shared" si="22"/>
        <v>0</v>
      </c>
      <c r="E51" s="3">
        <f t="shared" si="22"/>
        <v>0</v>
      </c>
      <c r="F51" s="3">
        <f t="shared" si="22"/>
        <v>0</v>
      </c>
      <c r="G51" s="3">
        <f t="shared" si="22"/>
        <v>0</v>
      </c>
      <c r="H51" s="3"/>
      <c r="N51" s="3" t="s">
        <v>64</v>
      </c>
      <c r="O51" t="s">
        <v>59</v>
      </c>
      <c r="P51" s="3" t="s">
        <v>60</v>
      </c>
      <c r="Q51" t="s">
        <v>61</v>
      </c>
    </row>
    <row r="52" spans="1:17">
      <c r="A52" s="6" t="s">
        <v>75</v>
      </c>
      <c r="B52" s="7">
        <f>AF4</f>
        <v>0</v>
      </c>
      <c r="C52" s="7">
        <f t="shared" ref="C52:G52" si="23">AG4</f>
        <v>0</v>
      </c>
      <c r="D52" s="7">
        <f t="shared" si="23"/>
        <v>0</v>
      </c>
      <c r="E52" s="7">
        <f t="shared" si="23"/>
        <v>0</v>
      </c>
      <c r="F52" s="7">
        <f t="shared" si="23"/>
        <v>0</v>
      </c>
      <c r="G52" s="7">
        <f t="shared" si="23"/>
        <v>0</v>
      </c>
      <c r="H52" s="7"/>
      <c r="I52" s="8"/>
      <c r="J52" s="8"/>
      <c r="N52" s="3" t="s">
        <v>71</v>
      </c>
      <c r="O52" s="3">
        <f>C49</f>
        <v>0</v>
      </c>
      <c r="P52" s="3">
        <f>E49</f>
        <v>0</v>
      </c>
      <c r="Q52" s="10">
        <f>G49</f>
        <v>0</v>
      </c>
    </row>
    <row r="53" spans="1:17">
      <c r="A53" s="2" t="s">
        <v>76</v>
      </c>
      <c r="B53" s="3">
        <f>AL4</f>
        <v>0</v>
      </c>
      <c r="C53" s="3">
        <f t="shared" ref="C53:G53" si="24">AM4</f>
        <v>0</v>
      </c>
      <c r="D53" s="3">
        <f t="shared" si="24"/>
        <v>0</v>
      </c>
      <c r="E53" s="3">
        <f t="shared" si="24"/>
        <v>0</v>
      </c>
      <c r="F53" s="3">
        <f t="shared" si="24"/>
        <v>0</v>
      </c>
      <c r="G53" s="3">
        <f t="shared" si="24"/>
        <v>0</v>
      </c>
      <c r="H53" s="3"/>
      <c r="I53" s="2"/>
      <c r="J53" s="3"/>
      <c r="N53" s="3" t="s">
        <v>78</v>
      </c>
      <c r="O53" s="3">
        <f>C50</f>
        <v>0</v>
      </c>
      <c r="P53" s="3">
        <f>E50</f>
        <v>0</v>
      </c>
      <c r="Q53" s="10">
        <f>G50</f>
        <v>0</v>
      </c>
    </row>
    <row r="54" spans="1:17">
      <c r="A54" s="2" t="s">
        <v>77</v>
      </c>
      <c r="B54" s="3">
        <f>AR4</f>
        <v>0</v>
      </c>
      <c r="C54" s="3">
        <f t="shared" ref="C54:G54" si="25">AS4</f>
        <v>0</v>
      </c>
      <c r="D54" s="3">
        <f t="shared" si="25"/>
        <v>0</v>
      </c>
      <c r="E54" s="3">
        <f t="shared" si="25"/>
        <v>0</v>
      </c>
      <c r="F54" s="3">
        <f t="shared" si="25"/>
        <v>0</v>
      </c>
      <c r="G54" s="3">
        <f t="shared" si="25"/>
        <v>0</v>
      </c>
      <c r="H54" s="3"/>
      <c r="I54" s="2"/>
      <c r="J54" s="3"/>
      <c r="N54" t="s">
        <v>75</v>
      </c>
      <c r="O54" s="3">
        <f>C52</f>
        <v>0</v>
      </c>
      <c r="P54" s="3">
        <f>E52</f>
        <v>0</v>
      </c>
      <c r="Q54" s="10">
        <f>G52</f>
        <v>0</v>
      </c>
    </row>
    <row r="55" spans="1:17">
      <c r="N55" s="3" t="s">
        <v>73</v>
      </c>
      <c r="O55" s="3">
        <f>C51</f>
        <v>0</v>
      </c>
      <c r="P55" s="3">
        <f>E51</f>
        <v>0</v>
      </c>
      <c r="Q55" s="10">
        <f>G51</f>
        <v>0</v>
      </c>
    </row>
    <row r="57" spans="1:17">
      <c r="B57" s="2">
        <f>A5</f>
        <v>0</v>
      </c>
    </row>
    <row r="59" spans="1:17">
      <c r="B59" s="2" t="s">
        <v>59</v>
      </c>
      <c r="C59" s="2"/>
      <c r="D59" s="2" t="s">
        <v>60</v>
      </c>
      <c r="E59" s="2"/>
      <c r="F59" s="2" t="s">
        <v>61</v>
      </c>
      <c r="I59" s="2"/>
      <c r="J59" s="2"/>
    </row>
    <row r="60" spans="1:17">
      <c r="A60" s="2" t="s">
        <v>64</v>
      </c>
      <c r="B60" s="2" t="s">
        <v>65</v>
      </c>
      <c r="C60" s="2" t="s">
        <v>66</v>
      </c>
      <c r="D60" s="2" t="s">
        <v>65</v>
      </c>
      <c r="E60" s="2" t="s">
        <v>66</v>
      </c>
      <c r="F60" s="2" t="s">
        <v>65</v>
      </c>
      <c r="G60" s="2" t="s">
        <v>66</v>
      </c>
      <c r="H60" s="2"/>
      <c r="I60" s="2"/>
    </row>
    <row r="61" spans="1:17">
      <c r="A61" s="2" t="s">
        <v>68</v>
      </c>
      <c r="B61" s="3">
        <f>B5</f>
        <v>0</v>
      </c>
      <c r="C61" s="3">
        <f t="shared" ref="C61:G61" si="26">C5</f>
        <v>0</v>
      </c>
      <c r="D61" s="3">
        <f t="shared" si="26"/>
        <v>0</v>
      </c>
      <c r="E61" s="3">
        <f t="shared" si="26"/>
        <v>0</v>
      </c>
      <c r="F61" s="3">
        <f t="shared" si="26"/>
        <v>0</v>
      </c>
      <c r="G61" s="3">
        <f t="shared" si="26"/>
        <v>0</v>
      </c>
      <c r="H61" s="3"/>
      <c r="I61" s="2"/>
      <c r="J61" s="3"/>
    </row>
    <row r="62" spans="1:17">
      <c r="A62" s="2" t="s">
        <v>70</v>
      </c>
      <c r="B62" s="3">
        <f>I5</f>
        <v>0</v>
      </c>
      <c r="C62" s="3">
        <f t="shared" ref="C62:G62" si="27">J5</f>
        <v>0</v>
      </c>
      <c r="D62" s="3">
        <f t="shared" si="27"/>
        <v>0</v>
      </c>
      <c r="E62" s="3">
        <f t="shared" si="27"/>
        <v>0</v>
      </c>
      <c r="F62" s="3">
        <f t="shared" si="27"/>
        <v>0</v>
      </c>
      <c r="G62" s="3">
        <f t="shared" si="27"/>
        <v>0</v>
      </c>
      <c r="H62" s="3"/>
      <c r="I62" s="2"/>
      <c r="J62" s="3"/>
    </row>
    <row r="63" spans="1:17">
      <c r="A63" s="4" t="s">
        <v>71</v>
      </c>
      <c r="B63" s="5">
        <f>P5</f>
        <v>0</v>
      </c>
      <c r="C63" s="5">
        <f t="shared" ref="C63:G63" si="28">Q5</f>
        <v>0</v>
      </c>
      <c r="D63" s="5">
        <f t="shared" si="28"/>
        <v>0</v>
      </c>
      <c r="E63" s="5">
        <f t="shared" si="28"/>
        <v>0</v>
      </c>
      <c r="F63" s="5">
        <f t="shared" si="28"/>
        <v>0</v>
      </c>
      <c r="G63" s="5">
        <f t="shared" si="28"/>
        <v>0</v>
      </c>
      <c r="H63" s="5"/>
      <c r="I63" s="2"/>
      <c r="J63" s="3"/>
    </row>
    <row r="64" spans="1:17">
      <c r="A64" s="6" t="s">
        <v>72</v>
      </c>
      <c r="B64" s="7">
        <f>W5</f>
        <v>0</v>
      </c>
      <c r="C64" s="7">
        <f t="shared" ref="C64:G64" si="29">X5</f>
        <v>0</v>
      </c>
      <c r="D64" s="7">
        <f t="shared" si="29"/>
        <v>0</v>
      </c>
      <c r="E64" s="7">
        <f t="shared" si="29"/>
        <v>0</v>
      </c>
      <c r="F64" s="7">
        <f t="shared" si="29"/>
        <v>0</v>
      </c>
      <c r="G64" s="7">
        <f t="shared" si="29"/>
        <v>0</v>
      </c>
      <c r="H64" s="7"/>
      <c r="I64" s="8"/>
      <c r="J64" s="8"/>
    </row>
    <row r="65" spans="1:10">
      <c r="A65" s="2" t="s">
        <v>73</v>
      </c>
      <c r="B65" s="3">
        <f>AD5</f>
        <v>0</v>
      </c>
      <c r="C65" s="3">
        <f t="shared" ref="C65:G65" si="30">AE5</f>
        <v>0</v>
      </c>
      <c r="D65" s="3">
        <f t="shared" si="30"/>
        <v>0</v>
      </c>
      <c r="E65" s="3">
        <f t="shared" si="30"/>
        <v>0</v>
      </c>
      <c r="F65" s="3">
        <f t="shared" si="30"/>
        <v>0</v>
      </c>
      <c r="G65" s="3">
        <f t="shared" si="30"/>
        <v>0</v>
      </c>
      <c r="H65" s="3"/>
    </row>
    <row r="66" spans="1:10">
      <c r="A66" s="6" t="s">
        <v>75</v>
      </c>
      <c r="B66" s="7">
        <f>AK5</f>
        <v>0</v>
      </c>
      <c r="C66" s="7">
        <f t="shared" ref="C66:G66" si="31">AL5</f>
        <v>0</v>
      </c>
      <c r="D66" s="7">
        <f t="shared" si="31"/>
        <v>0</v>
      </c>
      <c r="E66" s="7">
        <f t="shared" si="31"/>
        <v>0</v>
      </c>
      <c r="F66" s="7">
        <f t="shared" si="31"/>
        <v>0</v>
      </c>
      <c r="G66" s="7">
        <f t="shared" si="31"/>
        <v>0</v>
      </c>
      <c r="H66" s="7"/>
      <c r="I66" s="8"/>
      <c r="J66" s="8"/>
    </row>
    <row r="67" spans="1:10">
      <c r="A67" s="2" t="s">
        <v>76</v>
      </c>
      <c r="B67" s="3">
        <f>AR5</f>
        <v>0</v>
      </c>
      <c r="C67" s="3">
        <f t="shared" ref="C67:G67" si="32">AS5</f>
        <v>0</v>
      </c>
      <c r="D67" s="3">
        <f t="shared" si="32"/>
        <v>0</v>
      </c>
      <c r="E67" s="3">
        <f t="shared" si="32"/>
        <v>0</v>
      </c>
      <c r="F67" s="3">
        <f t="shared" si="32"/>
        <v>0</v>
      </c>
      <c r="G67" s="3">
        <f t="shared" si="32"/>
        <v>0</v>
      </c>
      <c r="H67" s="3"/>
      <c r="I67" s="2"/>
      <c r="J67" s="3"/>
    </row>
    <row r="68" spans="1:10">
      <c r="A68" s="2" t="s">
        <v>77</v>
      </c>
      <c r="B68" s="3">
        <f>AY5</f>
        <v>0</v>
      </c>
      <c r="C68" s="3">
        <f t="shared" ref="C68:G68" si="33">AZ5</f>
        <v>0</v>
      </c>
      <c r="D68" s="3">
        <f t="shared" si="33"/>
        <v>0</v>
      </c>
      <c r="E68" s="3">
        <f t="shared" si="33"/>
        <v>0</v>
      </c>
      <c r="F68" s="3">
        <f t="shared" si="33"/>
        <v>0</v>
      </c>
      <c r="G68" s="3">
        <f t="shared" si="33"/>
        <v>0</v>
      </c>
      <c r="H68" s="3"/>
      <c r="I68" s="2"/>
      <c r="J68" s="3"/>
    </row>
    <row r="71" spans="1:10">
      <c r="B71" s="2">
        <f>A6</f>
        <v>0</v>
      </c>
    </row>
    <row r="73" spans="1:10">
      <c r="B73" s="2" t="s">
        <v>59</v>
      </c>
      <c r="C73" s="2"/>
      <c r="D73" s="2" t="s">
        <v>60</v>
      </c>
      <c r="E73" s="2"/>
      <c r="F73" s="2" t="s">
        <v>61</v>
      </c>
      <c r="I73" s="2"/>
      <c r="J73" s="2"/>
    </row>
    <row r="74" spans="1:10">
      <c r="A74" s="2" t="s">
        <v>64</v>
      </c>
      <c r="B74" s="2" t="s">
        <v>65</v>
      </c>
      <c r="C74" s="2" t="s">
        <v>66</v>
      </c>
      <c r="D74" s="2" t="s">
        <v>65</v>
      </c>
      <c r="E74" s="2" t="s">
        <v>66</v>
      </c>
      <c r="F74" s="2" t="s">
        <v>65</v>
      </c>
      <c r="G74" s="2" t="s">
        <v>66</v>
      </c>
      <c r="H74" s="2"/>
      <c r="I74" s="2"/>
    </row>
    <row r="75" spans="1:10">
      <c r="A75" s="2" t="s">
        <v>68</v>
      </c>
      <c r="B75" s="3">
        <f>B6</f>
        <v>0</v>
      </c>
      <c r="C75" s="3">
        <f t="shared" ref="C75:G75" si="34">C6</f>
        <v>0</v>
      </c>
      <c r="D75" s="3">
        <f t="shared" si="34"/>
        <v>0</v>
      </c>
      <c r="E75" s="3">
        <f t="shared" si="34"/>
        <v>0</v>
      </c>
      <c r="F75" s="3">
        <f t="shared" si="34"/>
        <v>0</v>
      </c>
      <c r="G75" s="3">
        <f t="shared" si="34"/>
        <v>0</v>
      </c>
      <c r="H75" s="3"/>
      <c r="I75" s="2"/>
      <c r="J75" s="3"/>
    </row>
    <row r="76" spans="1:10">
      <c r="A76" s="2" t="s">
        <v>70</v>
      </c>
      <c r="B76" s="3">
        <f>I6</f>
        <v>0</v>
      </c>
      <c r="C76" s="3">
        <f t="shared" ref="C76:G76" si="35">J6</f>
        <v>0</v>
      </c>
      <c r="D76" s="3">
        <f t="shared" si="35"/>
        <v>0</v>
      </c>
      <c r="E76" s="3">
        <f t="shared" si="35"/>
        <v>0</v>
      </c>
      <c r="F76" s="3">
        <f t="shared" si="35"/>
        <v>0</v>
      </c>
      <c r="G76" s="3">
        <f t="shared" si="35"/>
        <v>0</v>
      </c>
      <c r="H76" s="3"/>
      <c r="I76" s="2"/>
      <c r="J76" s="3"/>
    </row>
    <row r="77" spans="1:10">
      <c r="A77" s="4" t="s">
        <v>71</v>
      </c>
      <c r="B77" s="5">
        <f>P6</f>
        <v>0</v>
      </c>
      <c r="C77" s="5">
        <f t="shared" ref="C77:G77" si="36">Q6</f>
        <v>0</v>
      </c>
      <c r="D77" s="5">
        <f t="shared" si="36"/>
        <v>0</v>
      </c>
      <c r="E77" s="5">
        <f t="shared" si="36"/>
        <v>0</v>
      </c>
      <c r="F77" s="5">
        <f t="shared" si="36"/>
        <v>0</v>
      </c>
      <c r="G77" s="5">
        <f t="shared" si="36"/>
        <v>0</v>
      </c>
      <c r="H77" s="5"/>
      <c r="I77" s="2"/>
      <c r="J77" s="3"/>
    </row>
    <row r="78" spans="1:10">
      <c r="A78" s="6" t="s">
        <v>72</v>
      </c>
      <c r="B78" s="7">
        <f>W6</f>
        <v>0</v>
      </c>
      <c r="C78" s="7">
        <f t="shared" ref="C78:G78" si="37">X6</f>
        <v>0</v>
      </c>
      <c r="D78" s="7">
        <f t="shared" si="37"/>
        <v>0</v>
      </c>
      <c r="E78" s="7">
        <f t="shared" si="37"/>
        <v>0</v>
      </c>
      <c r="F78" s="7">
        <f t="shared" si="37"/>
        <v>0</v>
      </c>
      <c r="G78" s="7">
        <f t="shared" si="37"/>
        <v>0</v>
      </c>
      <c r="H78" s="7"/>
      <c r="I78" s="8"/>
      <c r="J78" s="8"/>
    </row>
    <row r="79" spans="1:10">
      <c r="A79" s="2" t="s">
        <v>73</v>
      </c>
      <c r="B79" s="3">
        <f>AD6</f>
        <v>0</v>
      </c>
      <c r="C79" s="3">
        <f t="shared" ref="C79:G79" si="38">AE6</f>
        <v>0</v>
      </c>
      <c r="D79" s="3">
        <f t="shared" si="38"/>
        <v>0</v>
      </c>
      <c r="E79" s="3">
        <f t="shared" si="38"/>
        <v>0</v>
      </c>
      <c r="F79" s="3">
        <f t="shared" si="38"/>
        <v>0</v>
      </c>
      <c r="G79" s="3">
        <f t="shared" si="38"/>
        <v>0</v>
      </c>
      <c r="H79" s="3"/>
    </row>
    <row r="80" spans="1:10">
      <c r="A80" s="6" t="s">
        <v>75</v>
      </c>
      <c r="B80" s="7">
        <f>AK6</f>
        <v>0</v>
      </c>
      <c r="C80" s="7">
        <f t="shared" ref="C80:G80" si="39">AL6</f>
        <v>0</v>
      </c>
      <c r="D80" s="7">
        <f t="shared" si="39"/>
        <v>0</v>
      </c>
      <c r="E80" s="7">
        <f t="shared" si="39"/>
        <v>0</v>
      </c>
      <c r="F80" s="7">
        <f t="shared" si="39"/>
        <v>0</v>
      </c>
      <c r="G80" s="7">
        <f t="shared" si="39"/>
        <v>0</v>
      </c>
      <c r="H80" s="7"/>
      <c r="I80" s="8"/>
      <c r="J80" s="8"/>
    </row>
    <row r="81" spans="1:10">
      <c r="A81" s="2" t="s">
        <v>76</v>
      </c>
      <c r="B81" s="3">
        <f>AR6</f>
        <v>0</v>
      </c>
      <c r="C81" s="3">
        <f t="shared" ref="C81:G81" si="40">AS6</f>
        <v>0</v>
      </c>
      <c r="D81" s="3">
        <f t="shared" si="40"/>
        <v>0</v>
      </c>
      <c r="E81" s="3">
        <f t="shared" si="40"/>
        <v>0</v>
      </c>
      <c r="F81" s="3">
        <f t="shared" si="40"/>
        <v>0</v>
      </c>
      <c r="G81" s="3">
        <f t="shared" si="40"/>
        <v>0</v>
      </c>
      <c r="H81" s="3"/>
      <c r="I81" s="2"/>
      <c r="J81" s="3"/>
    </row>
    <row r="82" spans="1:10">
      <c r="A82" s="2" t="s">
        <v>77</v>
      </c>
      <c r="B82" s="3">
        <f>AY6</f>
        <v>0</v>
      </c>
      <c r="C82" s="3">
        <f t="shared" ref="C82:G82" si="41">AZ6</f>
        <v>0</v>
      </c>
      <c r="D82" s="3">
        <f t="shared" si="41"/>
        <v>0</v>
      </c>
      <c r="E82" s="3">
        <f t="shared" si="41"/>
        <v>0</v>
      </c>
      <c r="F82" s="3">
        <f t="shared" si="41"/>
        <v>0</v>
      </c>
      <c r="G82" s="3">
        <f t="shared" si="41"/>
        <v>0</v>
      </c>
      <c r="H82" s="3"/>
      <c r="I82" s="2"/>
      <c r="J82" s="3"/>
    </row>
    <row r="85" spans="1:10">
      <c r="B85" s="2">
        <f>A7</f>
        <v>0</v>
      </c>
    </row>
    <row r="87" spans="1:10">
      <c r="B87" s="2" t="s">
        <v>59</v>
      </c>
      <c r="C87" s="2"/>
      <c r="D87" s="2" t="s">
        <v>60</v>
      </c>
      <c r="E87" s="2"/>
      <c r="F87" s="2" t="s">
        <v>61</v>
      </c>
      <c r="I87" s="2"/>
      <c r="J87" s="2"/>
    </row>
    <row r="88" spans="1:10">
      <c r="A88" s="2" t="s">
        <v>64</v>
      </c>
      <c r="B88" s="2" t="s">
        <v>65</v>
      </c>
      <c r="C88" s="2" t="s">
        <v>66</v>
      </c>
      <c r="D88" s="2" t="s">
        <v>65</v>
      </c>
      <c r="E88" s="2" t="s">
        <v>66</v>
      </c>
      <c r="F88" s="2" t="s">
        <v>65</v>
      </c>
      <c r="G88" s="2" t="s">
        <v>66</v>
      </c>
      <c r="H88" s="2"/>
      <c r="I88" s="2"/>
    </row>
    <row r="89" spans="1:10">
      <c r="A89" s="2" t="s">
        <v>68</v>
      </c>
      <c r="B89" s="3">
        <f>B7</f>
        <v>0</v>
      </c>
      <c r="C89" s="3">
        <f t="shared" ref="C89:G89" si="42">C7</f>
        <v>0</v>
      </c>
      <c r="D89" s="3">
        <f t="shared" si="42"/>
        <v>0</v>
      </c>
      <c r="E89" s="3">
        <f t="shared" si="42"/>
        <v>0</v>
      </c>
      <c r="F89" s="3">
        <f t="shared" si="42"/>
        <v>0</v>
      </c>
      <c r="G89" s="3">
        <f t="shared" si="42"/>
        <v>0</v>
      </c>
      <c r="H89" s="3"/>
      <c r="I89" s="2"/>
      <c r="J89" s="3"/>
    </row>
    <row r="90" spans="1:10">
      <c r="A90" s="2" t="s">
        <v>70</v>
      </c>
      <c r="B90" s="3">
        <f>I7</f>
        <v>0</v>
      </c>
      <c r="C90" s="3">
        <f t="shared" ref="C90:G90" si="43">J7</f>
        <v>0</v>
      </c>
      <c r="D90" s="3">
        <f t="shared" si="43"/>
        <v>0</v>
      </c>
      <c r="E90" s="3">
        <f t="shared" si="43"/>
        <v>0</v>
      </c>
      <c r="F90" s="3">
        <f t="shared" si="43"/>
        <v>0</v>
      </c>
      <c r="G90" s="3">
        <f t="shared" si="43"/>
        <v>0</v>
      </c>
      <c r="H90" s="3"/>
      <c r="I90" s="2"/>
      <c r="J90" s="3"/>
    </row>
    <row r="91" spans="1:10">
      <c r="A91" s="4" t="s">
        <v>71</v>
      </c>
      <c r="B91" s="5">
        <f>P7</f>
        <v>0</v>
      </c>
      <c r="C91" s="5">
        <f t="shared" ref="C91:G91" si="44">Q7</f>
        <v>0</v>
      </c>
      <c r="D91" s="5">
        <f t="shared" si="44"/>
        <v>0</v>
      </c>
      <c r="E91" s="5">
        <f t="shared" si="44"/>
        <v>0</v>
      </c>
      <c r="F91" s="5">
        <f t="shared" si="44"/>
        <v>0</v>
      </c>
      <c r="G91" s="5">
        <f t="shared" si="44"/>
        <v>0</v>
      </c>
      <c r="H91" s="5"/>
      <c r="I91" s="2"/>
      <c r="J91" s="3"/>
    </row>
    <row r="92" spans="1:10">
      <c r="A92" s="6" t="s">
        <v>72</v>
      </c>
      <c r="B92" s="7">
        <f>W7</f>
        <v>0</v>
      </c>
      <c r="C92" s="7">
        <f t="shared" ref="C92:G92" si="45">X7</f>
        <v>0</v>
      </c>
      <c r="D92" s="7">
        <f t="shared" si="45"/>
        <v>0</v>
      </c>
      <c r="E92" s="7">
        <f t="shared" si="45"/>
        <v>0</v>
      </c>
      <c r="F92" s="7">
        <f t="shared" si="45"/>
        <v>0</v>
      </c>
      <c r="G92" s="7">
        <f t="shared" si="45"/>
        <v>0</v>
      </c>
      <c r="H92" s="7"/>
      <c r="I92" s="8"/>
      <c r="J92" s="8"/>
    </row>
    <row r="93" spans="1:10">
      <c r="A93" s="2" t="s">
        <v>73</v>
      </c>
      <c r="B93" s="3">
        <f>AD7</f>
        <v>0</v>
      </c>
      <c r="C93" s="3">
        <f t="shared" ref="C93:G93" si="46">AE7</f>
        <v>0</v>
      </c>
      <c r="D93" s="3">
        <f t="shared" si="46"/>
        <v>0</v>
      </c>
      <c r="E93" s="3">
        <f t="shared" si="46"/>
        <v>0</v>
      </c>
      <c r="F93" s="3">
        <f t="shared" si="46"/>
        <v>0</v>
      </c>
      <c r="G93" s="3">
        <f t="shared" si="46"/>
        <v>0</v>
      </c>
      <c r="H93" s="3"/>
    </row>
    <row r="94" spans="1:10">
      <c r="A94" s="6" t="s">
        <v>75</v>
      </c>
      <c r="B94" s="7">
        <f>AK7</f>
        <v>0</v>
      </c>
      <c r="C94" s="7">
        <f t="shared" ref="C94:G94" si="47">AL7</f>
        <v>0</v>
      </c>
      <c r="D94" s="7">
        <f t="shared" si="47"/>
        <v>0</v>
      </c>
      <c r="E94" s="7">
        <f t="shared" si="47"/>
        <v>0</v>
      </c>
      <c r="F94" s="7">
        <f t="shared" si="47"/>
        <v>0</v>
      </c>
      <c r="G94" s="7">
        <f t="shared" si="47"/>
        <v>0</v>
      </c>
      <c r="H94" s="7"/>
      <c r="I94" s="8"/>
      <c r="J94" s="8"/>
    </row>
    <row r="95" spans="1:10">
      <c r="A95" s="2" t="s">
        <v>76</v>
      </c>
      <c r="B95" s="3">
        <f>AR7</f>
        <v>0</v>
      </c>
      <c r="C95" s="3">
        <f t="shared" ref="C95:G95" si="48">AS7</f>
        <v>0</v>
      </c>
      <c r="D95" s="3">
        <f t="shared" si="48"/>
        <v>0</v>
      </c>
      <c r="E95" s="3">
        <f t="shared" si="48"/>
        <v>0</v>
      </c>
      <c r="F95" s="3">
        <f t="shared" si="48"/>
        <v>0</v>
      </c>
      <c r="G95" s="3">
        <f t="shared" si="48"/>
        <v>0</v>
      </c>
      <c r="H95" s="3"/>
      <c r="I95" s="2"/>
      <c r="J95" s="3"/>
    </row>
    <row r="96" spans="1:10">
      <c r="A96" s="2" t="s">
        <v>77</v>
      </c>
      <c r="B96" s="3">
        <f>AY7</f>
        <v>0</v>
      </c>
      <c r="C96" s="3">
        <f t="shared" ref="C96:G96" si="49">AZ7</f>
        <v>0</v>
      </c>
      <c r="D96" s="3">
        <f t="shared" si="49"/>
        <v>0</v>
      </c>
      <c r="E96" s="3">
        <f t="shared" si="49"/>
        <v>0</v>
      </c>
      <c r="F96" s="3">
        <f t="shared" si="49"/>
        <v>0</v>
      </c>
      <c r="G96" s="3">
        <f t="shared" si="49"/>
        <v>0</v>
      </c>
      <c r="H96" s="3"/>
      <c r="I96" s="2"/>
      <c r="J9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fitting_TS_GP_c2</vt:lpstr>
      <vt:lpstr>prediction_TS_GP_c1_w</vt:lpstr>
      <vt:lpstr>prediction_TS_GP_c1_1</vt:lpstr>
      <vt:lpstr>prediction_TS_GP_c2_1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 Tang</dc:creator>
  <cp:lastModifiedBy>Fang Tang</cp:lastModifiedBy>
  <dcterms:created xsi:type="dcterms:W3CDTF">2024-09-11T20:53:03Z</dcterms:created>
  <dcterms:modified xsi:type="dcterms:W3CDTF">2024-09-18T21:31:55Z</dcterms:modified>
</cp:coreProperties>
</file>